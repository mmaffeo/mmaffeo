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431" codeName="{B1203076-2D4D-A25B-A398-973B695A806A}"/>
  <workbookPr codeName="ThisWorkbook" autoCompressPictures="0"/>
  <mc:AlternateContent xmlns:mc="http://schemas.openxmlformats.org/markup-compatibility/2006">
    <mc:Choice Requires="x15">
      <x15ac:absPath xmlns:x15ac="http://schemas.microsoft.com/office/spreadsheetml/2010/11/ac" url="C:\Projects\SVNrepo\dibh-prod-esEMex\"/>
    </mc:Choice>
  </mc:AlternateContent>
  <bookViews>
    <workbookView xWindow="0" yWindow="0" windowWidth="17040" windowHeight="6852" tabRatio="294"/>
  </bookViews>
  <sheets>
    <sheet name="Targets" sheetId="12" r:id="rId1"/>
    <sheet name="SW" sheetId="1" r:id="rId2"/>
    <sheet name="HW" sheetId="11" r:id="rId3"/>
    <sheet name="LogBook" sheetId="13" r:id="rId4"/>
    <sheet name="DeratingCurves" sheetId="14" r:id="rId5"/>
    <sheet name="Tables" sheetId="8" r:id="rId6"/>
  </sheets>
  <functionGroups builtInGroupCount="18"/>
  <definedNames>
    <definedName name="ColumnTitle1" localSheetId="2">Project13[[#Headers],[% done]]</definedName>
    <definedName name="ColumnTitle1" localSheetId="5">Project1[[#Headers],[% done]]</definedName>
    <definedName name="ColumnTitle1" localSheetId="0">Project14[[#Headers],[% done]]</definedName>
    <definedName name="ColumnTitle1">Project1[[#Headers],[% done]]</definedName>
    <definedName name="ColumnTitle2" localSheetId="5">#REF!</definedName>
    <definedName name="ColumnTitle2" localSheetId="0">#REF!</definedName>
    <definedName name="ColumnTitle2">#REF!</definedName>
    <definedName name="ColumnTitle3" localSheetId="5">#REF!</definedName>
    <definedName name="ColumnTitle3" localSheetId="0">#REF!</definedName>
    <definedName name="ColumnTitle3">#REF!</definedName>
    <definedName name="_xlnm.Print_Titles" localSheetId="2">HW!$7:$7</definedName>
    <definedName name="_xlnm.Print_Titles" localSheetId="1">SW!$7:$7</definedName>
    <definedName name="_xlnm.Print_Titles" localSheetId="0">Targets!$7:$7</definedName>
    <definedName name="RowTitleRegion1..D4" localSheetId="2">HW!$B$3:$C$3</definedName>
    <definedName name="RowTitleRegion1..D4" localSheetId="0">Targets!$B$3:$C$3</definedName>
    <definedName name="RowTitleRegion1..D4">SW!$B$3:$C$3</definedName>
    <definedName name="Title" localSheetId="2">HW!$B$1</definedName>
    <definedName name="Title" localSheetId="0">Targets!$B$1</definedName>
    <definedName name="Title">SW!$B$1</definedName>
  </definedNames>
  <calcPr calcId="171027"/>
  <webPublishing codePage="1252"/>
</workbook>
</file>

<file path=xl/calcChain.xml><?xml version="1.0" encoding="utf-8"?>
<calcChain xmlns="http://schemas.openxmlformats.org/spreadsheetml/2006/main">
  <c r="E3" i="11" l="1"/>
  <c r="E4" i="11"/>
  <c r="G3" i="1"/>
  <c r="G4" i="1"/>
  <c r="E6" i="14"/>
  <c r="F9" i="14"/>
  <c r="G12" i="14"/>
  <c r="H15" i="14"/>
  <c r="I18" i="14"/>
  <c r="J21" i="14"/>
  <c r="K24" i="14"/>
  <c r="R7" i="14"/>
  <c r="N11" i="14"/>
  <c r="P17" i="14"/>
  <c r="R23" i="14"/>
  <c r="G11" i="14"/>
  <c r="Q17" i="14"/>
  <c r="S23" i="14"/>
  <c r="G8" i="14"/>
  <c r="F13" i="14"/>
  <c r="N6" i="14"/>
  <c r="O9" i="14"/>
  <c r="P12" i="14"/>
  <c r="Q15" i="14"/>
  <c r="R18" i="14"/>
  <c r="S21" i="14"/>
  <c r="T24" i="14"/>
  <c r="Q12" i="14"/>
  <c r="S18" i="14"/>
  <c r="U24" i="14"/>
  <c r="I9" i="14"/>
  <c r="K15" i="14"/>
  <c r="E21" i="14"/>
  <c r="R9" i="14"/>
  <c r="T15" i="14"/>
  <c r="H10" i="14"/>
  <c r="M18" i="14"/>
  <c r="O24" i="14"/>
  <c r="W21" i="14"/>
  <c r="E17" i="14"/>
  <c r="G15" i="14"/>
  <c r="M7" i="14"/>
  <c r="N15" i="14"/>
  <c r="J22" i="14"/>
  <c r="M9" i="14"/>
  <c r="S17" i="14"/>
  <c r="V23" i="14"/>
  <c r="R11" i="14"/>
  <c r="K19" i="14"/>
  <c r="M25" i="14"/>
  <c r="W13" i="14"/>
  <c r="F21" i="14"/>
  <c r="W10" i="14"/>
  <c r="G21" i="14"/>
  <c r="H16" i="14"/>
  <c r="E9" i="14"/>
  <c r="I21" i="14"/>
  <c r="P5" i="14"/>
  <c r="S5" i="14"/>
  <c r="E5" i="14"/>
  <c r="C15" i="14"/>
  <c r="C24" i="14"/>
  <c r="A22" i="14"/>
  <c r="A24" i="14"/>
  <c r="A13" i="14"/>
  <c r="U6" i="14"/>
  <c r="W12" i="14"/>
  <c r="Y18" i="14"/>
  <c r="F25" i="14"/>
  <c r="Y12" i="14"/>
  <c r="H25" i="14"/>
  <c r="G19" i="14"/>
  <c r="W8" i="14"/>
  <c r="I7" i="14"/>
  <c r="K13" i="14"/>
  <c r="M19" i="14"/>
  <c r="O25" i="14"/>
  <c r="I20" i="14"/>
  <c r="T10" i="14"/>
  <c r="P22" i="14"/>
  <c r="J17" i="14"/>
  <c r="X19" i="14"/>
  <c r="X24" i="14"/>
  <c r="X18" i="14"/>
  <c r="L9" i="14"/>
  <c r="U23" i="14"/>
  <c r="J19" i="14"/>
  <c r="Q13" i="14"/>
  <c r="U7" i="14"/>
  <c r="Q22" i="14"/>
  <c r="I11" i="14"/>
  <c r="C10" i="14"/>
  <c r="M6" i="14"/>
  <c r="N9" i="14"/>
  <c r="O12" i="14"/>
  <c r="P15" i="14"/>
  <c r="Q18" i="14"/>
  <c r="R21" i="14"/>
  <c r="S24" i="14"/>
  <c r="E8" i="14"/>
  <c r="I12" i="14"/>
  <c r="K18" i="14"/>
  <c r="M24" i="14"/>
  <c r="W11" i="14"/>
  <c r="L18" i="14"/>
  <c r="N24" i="14"/>
  <c r="O8" i="14"/>
  <c r="V13" i="14"/>
  <c r="V6" i="14"/>
  <c r="W9" i="14"/>
  <c r="X12" i="14"/>
  <c r="Y15" i="14"/>
  <c r="E19" i="14"/>
  <c r="F22" i="14"/>
  <c r="G25" i="14"/>
  <c r="L13" i="14"/>
  <c r="N19" i="14"/>
  <c r="P25" i="14"/>
  <c r="Y9" i="14"/>
  <c r="S15" i="14"/>
  <c r="U21" i="14"/>
  <c r="M10" i="14"/>
  <c r="O16" i="14"/>
  <c r="J11" i="14"/>
  <c r="H19" i="14"/>
  <c r="J25" i="14"/>
  <c r="M23" i="14"/>
  <c r="W18" i="14"/>
  <c r="K17" i="14"/>
  <c r="J8" i="14"/>
  <c r="P16" i="14"/>
  <c r="E23" i="14"/>
  <c r="O10" i="14"/>
  <c r="O18" i="14"/>
  <c r="Q24" i="14"/>
  <c r="T12" i="14"/>
  <c r="F20" i="14"/>
  <c r="S6" i="14"/>
  <c r="T14" i="14"/>
  <c r="V21" i="14"/>
  <c r="Y11" i="14"/>
  <c r="R22" i="14"/>
  <c r="G18" i="14"/>
  <c r="G10" i="14"/>
  <c r="T22" i="14"/>
  <c r="X5" i="14"/>
  <c r="L5" i="14"/>
  <c r="C6" i="14"/>
  <c r="C23" i="14"/>
  <c r="C9" i="14"/>
  <c r="A16" i="14"/>
  <c r="A17" i="14"/>
  <c r="A21" i="14"/>
  <c r="V9" i="14"/>
  <c r="X15" i="14"/>
  <c r="E22" i="14"/>
  <c r="M8" i="14"/>
  <c r="F19" i="14"/>
  <c r="R12" i="14"/>
  <c r="I25" i="14"/>
  <c r="Q14" i="14"/>
  <c r="J10" i="14"/>
  <c r="L16" i="14"/>
  <c r="N22" i="14"/>
  <c r="G14" i="14"/>
  <c r="H6" i="14"/>
  <c r="N16" i="14"/>
  <c r="H11" i="14"/>
  <c r="L12" i="14"/>
  <c r="L23" i="14"/>
  <c r="M20" i="14"/>
  <c r="M17" i="14"/>
  <c r="Q11" i="14"/>
  <c r="L25" i="14"/>
  <c r="V20" i="14"/>
  <c r="V15" i="14"/>
  <c r="V12" i="14"/>
  <c r="J24" i="14"/>
  <c r="A5" i="14"/>
  <c r="H7" i="14"/>
  <c r="I10" i="14"/>
  <c r="J13" i="14"/>
  <c r="K16" i="14"/>
  <c r="L19" i="14"/>
  <c r="M22" i="14"/>
  <c r="N25" i="14"/>
  <c r="U8" i="14"/>
  <c r="T13" i="14"/>
  <c r="V19" i="14"/>
  <c r="X25" i="14"/>
  <c r="M13" i="14"/>
  <c r="W19" i="14"/>
  <c r="Y25" i="14"/>
  <c r="J9" i="14"/>
  <c r="L15" i="14"/>
  <c r="Q7" i="14"/>
  <c r="R10" i="14"/>
  <c r="S13" i="14"/>
  <c r="T16" i="14"/>
  <c r="U19" i="14"/>
  <c r="V22" i="14"/>
  <c r="W25" i="14"/>
  <c r="W14" i="14"/>
  <c r="Y20" i="14"/>
  <c r="X6" i="14"/>
  <c r="O11" i="14"/>
  <c r="I17" i="14"/>
  <c r="K23" i="14"/>
  <c r="X11" i="14"/>
  <c r="E18" i="14"/>
  <c r="I13" i="14"/>
  <c r="S20" i="14"/>
  <c r="W24" i="14"/>
  <c r="E7" i="14"/>
  <c r="X21" i="14"/>
  <c r="N20" i="14"/>
  <c r="N10" i="14"/>
  <c r="N18" i="14"/>
  <c r="P24" i="14"/>
  <c r="N12" i="14"/>
  <c r="E20" i="14"/>
  <c r="R6" i="14"/>
  <c r="S14" i="14"/>
  <c r="Q21" i="14"/>
  <c r="R8" i="14"/>
  <c r="X16" i="14"/>
  <c r="G24" i="14"/>
  <c r="X13" i="14"/>
  <c r="S25" i="14"/>
  <c r="H21" i="14"/>
  <c r="H13" i="14"/>
  <c r="U25" i="14"/>
  <c r="Q5" i="14"/>
  <c r="M5" i="14"/>
  <c r="C22" i="14"/>
  <c r="C11" i="14"/>
  <c r="C19" i="14"/>
  <c r="A25" i="14"/>
  <c r="A18" i="14"/>
  <c r="G5" i="14"/>
  <c r="U5" i="14"/>
  <c r="C20" i="14"/>
  <c r="A7" i="14"/>
  <c r="V14" i="14"/>
  <c r="Q25" i="14"/>
  <c r="V18" i="14"/>
  <c r="O13" i="14"/>
  <c r="K22" i="14"/>
  <c r="S11" i="14"/>
  <c r="G13" i="14"/>
  <c r="R5" i="14"/>
  <c r="A6" i="14"/>
  <c r="F7" i="14"/>
  <c r="C16" i="14"/>
  <c r="H24" i="14"/>
  <c r="P7" i="14"/>
  <c r="Q10" i="14"/>
  <c r="R13" i="14"/>
  <c r="S16" i="14"/>
  <c r="T19" i="14"/>
  <c r="U22" i="14"/>
  <c r="V25" i="14"/>
  <c r="H9" i="14"/>
  <c r="O14" i="14"/>
  <c r="Q20" i="14"/>
  <c r="P6" i="14"/>
  <c r="H14" i="14"/>
  <c r="R20" i="14"/>
  <c r="I6" i="14"/>
  <c r="E10" i="14"/>
  <c r="G16" i="14"/>
  <c r="Y7" i="14"/>
  <c r="E11" i="14"/>
  <c r="F14" i="14"/>
  <c r="G17" i="14"/>
  <c r="H20" i="14"/>
  <c r="I23" i="14"/>
  <c r="O6" i="14"/>
  <c r="R15" i="14"/>
  <c r="T21" i="14"/>
  <c r="K7" i="14"/>
  <c r="J12" i="14"/>
  <c r="Y17" i="14"/>
  <c r="F24" i="14"/>
  <c r="S12" i="14"/>
  <c r="J6" i="14"/>
  <c r="K14" i="14"/>
  <c r="N21" i="14"/>
  <c r="T6" i="14"/>
  <c r="Y8" i="14"/>
  <c r="I24" i="14"/>
  <c r="Y21" i="14"/>
  <c r="K11" i="14"/>
  <c r="I19" i="14"/>
  <c r="K25" i="14"/>
  <c r="P13" i="14"/>
  <c r="U20" i="14"/>
  <c r="O7" i="14"/>
  <c r="U15" i="14"/>
  <c r="L22" i="14"/>
  <c r="T9" i="14"/>
  <c r="U17" i="14"/>
  <c r="R25" i="14"/>
  <c r="E15" i="14"/>
  <c r="W7" i="14"/>
  <c r="S22" i="14"/>
  <c r="J14" i="14"/>
  <c r="Y5" i="14"/>
  <c r="C25" i="14"/>
  <c r="C13" i="14"/>
  <c r="A11" i="14"/>
  <c r="X20" i="14"/>
  <c r="O19" i="14"/>
  <c r="J16" i="14"/>
  <c r="H8" i="14"/>
  <c r="N7" i="14"/>
  <c r="T17" i="14"/>
  <c r="X8" i="14"/>
  <c r="H18" i="14"/>
  <c r="C12" i="14"/>
  <c r="A23" i="14"/>
  <c r="S19" i="14"/>
  <c r="C7" i="14"/>
  <c r="A20" i="14"/>
  <c r="C14" i="14"/>
  <c r="C17" i="14"/>
  <c r="X7" i="14"/>
  <c r="Y10" i="14"/>
  <c r="E14" i="14"/>
  <c r="F17" i="14"/>
  <c r="G20" i="14"/>
  <c r="H23" i="14"/>
  <c r="G6" i="14"/>
  <c r="P9" i="14"/>
  <c r="J15" i="14"/>
  <c r="L21" i="14"/>
  <c r="V8" i="14"/>
  <c r="X14" i="14"/>
  <c r="M21" i="14"/>
  <c r="Y6" i="14"/>
  <c r="U10" i="14"/>
  <c r="W16" i="14"/>
  <c r="L8" i="14"/>
  <c r="M11" i="14"/>
  <c r="N14" i="14"/>
  <c r="O17" i="14"/>
  <c r="P20" i="14"/>
  <c r="Q23" i="14"/>
  <c r="X9" i="14"/>
  <c r="M16" i="14"/>
  <c r="O22" i="14"/>
  <c r="S7" i="14"/>
  <c r="E13" i="14"/>
  <c r="T18" i="14"/>
  <c r="V24" i="14"/>
  <c r="N13" i="14"/>
  <c r="G7" i="14"/>
  <c r="M15" i="14"/>
  <c r="I22" i="14"/>
  <c r="W15" i="14"/>
  <c r="F10" i="14"/>
  <c r="T25" i="14"/>
  <c r="O23" i="14"/>
  <c r="M12" i="14"/>
  <c r="Y19" i="14"/>
  <c r="L6" i="14"/>
  <c r="R14" i="14"/>
  <c r="P21" i="14"/>
  <c r="Q8" i="14"/>
  <c r="R16" i="14"/>
  <c r="G23" i="14"/>
  <c r="V10" i="14"/>
  <c r="U18" i="14"/>
  <c r="V7" i="14"/>
  <c r="Y16" i="14"/>
  <c r="X10" i="14"/>
  <c r="N23" i="14"/>
  <c r="I16" i="14"/>
  <c r="O5" i="14"/>
  <c r="J5" i="14"/>
  <c r="F5" i="14"/>
  <c r="C18" i="14"/>
  <c r="C21" i="14"/>
  <c r="C5" i="14"/>
  <c r="A15" i="14"/>
  <c r="A19" i="14"/>
  <c r="T8" i="14"/>
  <c r="F8" i="14"/>
  <c r="I14" i="14"/>
  <c r="Y22" i="14"/>
  <c r="E25" i="14"/>
  <c r="O15" i="14"/>
  <c r="W23" i="14"/>
  <c r="F18" i="14"/>
  <c r="W5" i="14"/>
  <c r="C8" i="14"/>
  <c r="Y13" i="14"/>
  <c r="V5" i="14"/>
  <c r="I5" i="14"/>
  <c r="A10" i="14"/>
  <c r="K8" i="14"/>
  <c r="L11" i="14"/>
  <c r="M14" i="14"/>
  <c r="N17" i="14"/>
  <c r="O20" i="14"/>
  <c r="P23" i="14"/>
  <c r="W6" i="14"/>
  <c r="K10" i="14"/>
  <c r="E16" i="14"/>
  <c r="G22" i="14"/>
  <c r="Q9" i="14"/>
  <c r="F16" i="14"/>
  <c r="H22" i="14"/>
  <c r="L7" i="14"/>
  <c r="P11" i="14"/>
  <c r="R17" i="14"/>
  <c r="U11" i="14"/>
  <c r="W17" i="14"/>
  <c r="Y23" i="14"/>
  <c r="S10" i="14"/>
  <c r="H17" i="14"/>
  <c r="J23" i="14"/>
  <c r="U13" i="14"/>
  <c r="I8" i="14"/>
  <c r="E12" i="14"/>
  <c r="T20" i="14"/>
  <c r="S9" i="14"/>
  <c r="P19" i="14"/>
  <c r="Y24" i="14"/>
  <c r="N5" i="14"/>
  <c r="A12" i="14"/>
  <c r="K5" i="14"/>
  <c r="A8" i="14"/>
  <c r="T5" i="14"/>
  <c r="S8" i="14"/>
  <c r="T11" i="14"/>
  <c r="U14" i="14"/>
  <c r="V17" i="14"/>
  <c r="W20" i="14"/>
  <c r="X23" i="14"/>
  <c r="J7" i="14"/>
  <c r="F11" i="14"/>
  <c r="U16" i="14"/>
  <c r="W22" i="14"/>
  <c r="L10" i="14"/>
  <c r="V16" i="14"/>
  <c r="X22" i="14"/>
  <c r="T7" i="14"/>
  <c r="K12" i="14"/>
  <c r="F6" i="14"/>
  <c r="G9" i="14"/>
  <c r="H12" i="14"/>
  <c r="I15" i="14"/>
  <c r="J18" i="14"/>
  <c r="K21" i="14"/>
  <c r="L24" i="14"/>
  <c r="V11" i="14"/>
  <c r="X17" i="14"/>
  <c r="E24" i="14"/>
  <c r="N8" i="14"/>
  <c r="P14" i="14"/>
  <c r="J20" i="14"/>
  <c r="Q6" i="14"/>
  <c r="Y14" i="14"/>
  <c r="K9" i="14"/>
  <c r="L17" i="14"/>
  <c r="T23" i="14"/>
  <c r="L20" i="14"/>
  <c r="F15" i="14"/>
  <c r="F12" i="14"/>
  <c r="K6" i="14"/>
  <c r="L14" i="14"/>
  <c r="O21" i="14"/>
  <c r="P8" i="14"/>
  <c r="Q16" i="14"/>
  <c r="F23" i="14"/>
  <c r="P10" i="14"/>
  <c r="P18" i="14"/>
  <c r="R24" i="14"/>
  <c r="U12" i="14"/>
  <c r="K20" i="14"/>
  <c r="U9" i="14"/>
  <c r="Q19" i="14"/>
  <c r="H5" i="14"/>
  <c r="A14" i="14"/>
  <c r="R19" i="14"/>
  <c r="A9" i="14"/>
</calcChain>
</file>

<file path=xl/sharedStrings.xml><?xml version="1.0" encoding="utf-8"?>
<sst xmlns="http://schemas.openxmlformats.org/spreadsheetml/2006/main" count="212" uniqueCount="103">
  <si>
    <t>To be completed by:</t>
  </si>
  <si>
    <t>Deadline:</t>
  </si>
  <si>
    <t>Notes</t>
  </si>
  <si>
    <t>% done</t>
  </si>
  <si>
    <t>Modification</t>
  </si>
  <si>
    <t>Enviroment</t>
  </si>
  <si>
    <t>Controller</t>
  </si>
  <si>
    <t>SADB</t>
  </si>
  <si>
    <t>ED1183_Gateway.sadb</t>
  </si>
  <si>
    <t>Files</t>
  </si>
  <si>
    <t>Position</t>
  </si>
  <si>
    <t>Project</t>
  </si>
  <si>
    <t>ED1027_Master.sadb</t>
  </si>
  <si>
    <t>IAR</t>
  </si>
  <si>
    <t>Part</t>
  </si>
  <si>
    <t>Connector A</t>
  </si>
  <si>
    <t>Connector B</t>
  </si>
  <si>
    <t>ap_main.cpp</t>
  </si>
  <si>
    <t>MatLab</t>
  </si>
  <si>
    <t>GW_Startup.m</t>
  </si>
  <si>
    <t>Simulink</t>
  </si>
  <si>
    <t>SA</t>
  </si>
  <si>
    <t>HW</t>
  </si>
  <si>
    <t>HW subsystem</t>
  </si>
  <si>
    <t>SW</t>
  </si>
  <si>
    <t>SW file</t>
  </si>
  <si>
    <t>SW Branch</t>
  </si>
  <si>
    <t>ap_bservice_CANOpen.h</t>
  </si>
  <si>
    <t>ap_bservice_CANOpenMsg.h</t>
  </si>
  <si>
    <t>ap_bservice_CANOpen.cpp</t>
  </si>
  <si>
    <t>ap_bservice_CANOpenMsg.cpp</t>
  </si>
  <si>
    <t>ED1287_MxGateway.sadb</t>
  </si>
  <si>
    <t>ED1027_Master_86_10__Mod.sadb</t>
  </si>
  <si>
    <t>MX_Gateway.mdl</t>
  </si>
  <si>
    <t>-m', 'eE10*A*EM',...</t>
  </si>
  <si>
    <t>add and modify row  in script</t>
  </si>
  <si>
    <t>Add Block CANOpen in Inputs</t>
  </si>
  <si>
    <t>Modified the BUS accordly</t>
  </si>
  <si>
    <t>Add Block ElectricAutomation in System</t>
  </si>
  <si>
    <t>Added include and call to Initiaize and Update</t>
  </si>
  <si>
    <t>All the call are marked with Max3363</t>
  </si>
  <si>
    <t>Add file to the project</t>
  </si>
  <si>
    <t>Set configarion for simulation</t>
  </si>
  <si>
    <t>Code-&gt;C/C++ Code-&gt; Code Generation Options..-&gt;Code Generation -&gt; Interface -&gt; absolute time =Yes
Code-&gt;C/C++ Code-&gt; Code Generation Options..-&gt;Code Generation -&gt; Interface -&gt; continous time =Yes
Code-&gt;C/C++ Code-&gt; Code Generation Options..-&gt;Code Generation -&gt; Interface -&gt; Remove error status field in real-time.... =No</t>
  </si>
  <si>
    <t>Add column copied from E26 and renamed eE10</t>
  </si>
  <si>
    <t>Primary</t>
  </si>
  <si>
    <t>Test the beahiviour</t>
  </si>
  <si>
    <t>Emergenzy input</t>
  </si>
  <si>
    <t>Device</t>
  </si>
  <si>
    <t>Inverter</t>
  </si>
  <si>
    <t>Primary Ctlr</t>
  </si>
  <si>
    <t>Add the logic to reduce the speed when the current is below a limit for energy saving</t>
  </si>
  <si>
    <t>Input</t>
  </si>
  <si>
    <t>CAN Comm</t>
  </si>
  <si>
    <t>Check the current value received</t>
  </si>
  <si>
    <t>Battery Ctlr</t>
  </si>
  <si>
    <t>Check the value and the type of communication</t>
  </si>
  <si>
    <t>Check the functionality</t>
  </si>
  <si>
    <t>Add the logic to manage the pilot valve</t>
  </si>
  <si>
    <t>When the seat bar is up the pilot valve must be switched off</t>
  </si>
  <si>
    <t>Status of the request for the project</t>
  </si>
  <si>
    <t>Massimo Maffeo</t>
  </si>
  <si>
    <t>Action made on the software of the original project R4.1 for MEX</t>
  </si>
  <si>
    <t>Modification made on the hardware of the controller and related parts</t>
  </si>
  <si>
    <t>Level</t>
  </si>
  <si>
    <t>Critical</t>
  </si>
  <si>
    <t>Normal</t>
  </si>
  <si>
    <t>Add the logic in order to manage the communication with the inverter</t>
  </si>
  <si>
    <t>Add the logic in order to manage the communication with the charger</t>
  </si>
  <si>
    <t>Add the logic for managing the pilot coil</t>
  </si>
  <si>
    <t>Complementary</t>
  </si>
  <si>
    <t>Check the derate logic of battery and inverte and see the impact</t>
  </si>
  <si>
    <t>WE plan to use  J1B-06 for 2sp coil and J1B-25 for 2sp lamp</t>
  </si>
  <si>
    <t>Seat Bar SW</t>
  </si>
  <si>
    <t>Add the logic for managing the two speed lamp</t>
  </si>
  <si>
    <t>the pilot coil must be driven during the normal activity but also in service situation where is necessary to discharge the residual pressure in the circuits</t>
  </si>
  <si>
    <t>the lamp in the std E20/26 is integrated in the panel that in this prototype is missing</t>
  </si>
  <si>
    <t>Add the logic to manage the current</t>
  </si>
  <si>
    <t>File removed and incorparated in ..CANOpen.cpp</t>
  </si>
  <si>
    <t>File removed and incorparated in ..CANOpen.h</t>
  </si>
  <si>
    <t>Date</t>
  </si>
  <si>
    <t>Log Book</t>
  </si>
  <si>
    <t>Version</t>
  </si>
  <si>
    <t>Build</t>
  </si>
  <si>
    <t>Description</t>
  </si>
  <si>
    <t>Tested ramp internally generated on the inverter.</t>
  </si>
  <si>
    <t>Integrate the proj in SA</t>
  </si>
  <si>
    <t>Remove all the unnecessary CAN messages</t>
  </si>
  <si>
    <t xml:space="preserve">Tested output HW pilot valve, 2speed coil and 2 speed lamp OK </t>
  </si>
  <si>
    <t>B4.2</t>
  </si>
  <si>
    <t>Set constant data</t>
  </si>
  <si>
    <t>Set ECU_FUNCTION to NOT_FUNCTIONAL = 255</t>
  </si>
  <si>
    <t>Set DELUXE_GEN5_FUNCTION to NOT_FUNCTIONAL = 255</t>
  </si>
  <si>
    <t>Start to modify the block in simulink for the control of the outputs</t>
  </si>
  <si>
    <t>Remove all the logic for thermal Engine</t>
  </si>
  <si>
    <t>This logic is not anymore necessary</t>
  </si>
  <si>
    <t>Check the IN/OUT to the test box ain_console = seat bar AIN07 0=0 1 = 1023 ain_ThrottlePrimary = trhottle 0..</t>
  </si>
  <si>
    <t>I</t>
  </si>
  <si>
    <t>T</t>
  </si>
  <si>
    <t>Charge</t>
  </si>
  <si>
    <t>Curr &lt;&gt; Temp</t>
  </si>
  <si>
    <t>Curr &lt;&gt; Charge</t>
  </si>
  <si>
    <t>Derating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</si>
</sst>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409]d\-mmm\-yy;@"/>
    <numFmt numFmtId="165" formatCode="dd/mm/yyyy;@"/>
    <numFmt numFmtId="166" formatCode="000"/>
  </numFmts>
  <fonts count="9" x14ac:knownFonts="1">
    <font>
      <sz val="11"/>
      <color theme="1"/>
      <name val="Perpetua"/>
      <family val="1"/>
      <scheme val="minor"/>
    </font>
    <font>
      <sz val="11"/>
      <color theme="1"/>
      <name val="Perpetua"/>
      <family val="1"/>
      <scheme val="minor"/>
    </font>
    <font>
      <b/>
      <sz val="24"/>
      <color theme="1"/>
      <name val="Franklin Gothic Book"/>
      <family val="2"/>
      <scheme val="major"/>
    </font>
    <font>
      <b/>
      <sz val="11"/>
      <color theme="0"/>
      <name val="Franklin Gothic Book"/>
      <family val="2"/>
      <scheme val="major"/>
    </font>
    <font>
      <b/>
      <sz val="11"/>
      <color theme="1"/>
      <name val="Franklin Gothic Book"/>
      <family val="2"/>
      <scheme val="major"/>
    </font>
    <font>
      <b/>
      <sz val="13"/>
      <color theme="0"/>
      <name val="Franklin Gothic Book"/>
      <family val="2"/>
      <scheme val="major"/>
    </font>
    <font>
      <sz val="11"/>
      <color theme="1"/>
      <name val="Calibri"/>
      <family val="2"/>
    </font>
    <font>
      <strike/>
      <sz val="11"/>
      <color theme="1"/>
      <name val="Perpetua"/>
      <family val="1"/>
      <scheme val="minor"/>
    </font>
    <font>
      <sz val="11"/>
      <color theme="0"/>
      <name val="Calibri"/>
      <family val="2"/>
    </font>
  </fonts>
  <fills count="6">
    <fill>
      <patternFill patternType="none"/>
    </fill>
    <fill>
      <patternFill patternType="gray125"/>
    </fill>
    <fill>
      <patternFill patternType="solid">
        <fgColor theme="5" tint="0.79998168889431442"/>
        <bgColor indexed="64"/>
      </patternFill>
    </fill>
    <fill>
      <patternFill patternType="solid">
        <fgColor theme="5"/>
        <bgColor indexed="64"/>
      </patternFill>
    </fill>
    <fill>
      <patternFill patternType="solid">
        <fgColor rgb="FFFF0000"/>
        <bgColor indexed="64"/>
      </patternFill>
    </fill>
    <fill>
      <patternFill patternType="solid">
        <fgColor theme="1"/>
        <bgColor indexed="64"/>
      </patternFill>
    </fill>
  </fills>
  <borders count="7">
    <border>
      <left/>
      <right/>
      <top/>
      <bottom/>
      <diagonal/>
    </border>
    <border>
      <left/>
      <right style="thin">
        <color theme="0"/>
      </right>
      <top/>
      <bottom style="thin">
        <color theme="0"/>
      </bottom>
      <diagonal/>
    </border>
    <border>
      <left style="thin">
        <color theme="0"/>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bottom/>
      <diagonal/>
    </border>
  </borders>
  <cellStyleXfs count="7">
    <xf numFmtId="0" fontId="0" fillId="0" borderId="0">
      <alignment wrapText="1"/>
    </xf>
    <xf numFmtId="0" fontId="2" fillId="2" borderId="0" applyNumberFormat="0" applyBorder="0" applyProtection="0">
      <alignment horizontal="left"/>
    </xf>
    <xf numFmtId="0" fontId="5" fillId="3" borderId="0" applyNumberFormat="0" applyProtection="0"/>
    <xf numFmtId="0" fontId="4" fillId="2" borderId="4" applyNumberFormat="0" applyProtection="0">
      <alignment horizontal="left"/>
    </xf>
    <xf numFmtId="0" fontId="3" fillId="3" borderId="0" applyNumberFormat="0" applyProtection="0">
      <alignment horizontal="right"/>
    </xf>
    <xf numFmtId="9" fontId="1" fillId="0" borderId="0" applyFont="0" applyFill="0" applyBorder="0" applyAlignment="0" applyProtection="0"/>
    <xf numFmtId="164" fontId="1" fillId="0" borderId="0" applyFont="0" applyFill="0" applyBorder="0" applyAlignment="0"/>
  </cellStyleXfs>
  <cellXfs count="44">
    <xf numFmtId="0" fontId="0" fillId="0" borderId="0" xfId="0">
      <alignment wrapText="1"/>
    </xf>
    <xf numFmtId="0" fontId="1" fillId="0" borderId="0" xfId="0" applyFont="1">
      <alignment wrapText="1"/>
    </xf>
    <xf numFmtId="0" fontId="2" fillId="2" borderId="0" xfId="1">
      <alignment horizontal="left"/>
    </xf>
    <xf numFmtId="0" fontId="0" fillId="0" borderId="0" xfId="0" applyFont="1" applyFill="1" applyBorder="1" applyAlignment="1">
      <alignment wrapText="1"/>
    </xf>
    <xf numFmtId="0" fontId="0" fillId="0" borderId="0" xfId="0" applyFont="1" applyFill="1" applyBorder="1">
      <alignment wrapText="1"/>
    </xf>
    <xf numFmtId="0" fontId="6" fillId="0" borderId="0" xfId="0" applyFont="1">
      <alignment wrapText="1"/>
    </xf>
    <xf numFmtId="0" fontId="6" fillId="0" borderId="0" xfId="0" applyFont="1" applyAlignment="1">
      <alignment horizontal="left" vertical="top" wrapText="1"/>
    </xf>
    <xf numFmtId="0" fontId="0" fillId="0" borderId="3" xfId="0" applyFont="1" applyBorder="1" applyAlignment="1">
      <alignment horizontal="left" vertical="center" wrapText="1"/>
    </xf>
    <xf numFmtId="0" fontId="0" fillId="0" borderId="5" xfId="0" applyFont="1" applyBorder="1" applyAlignment="1">
      <alignment horizontal="left" vertical="top" wrapText="1"/>
    </xf>
    <xf numFmtId="0" fontId="0" fillId="0" borderId="1" xfId="0" applyFont="1" applyBorder="1" applyAlignment="1">
      <alignment horizontal="left" vertical="top" wrapText="1"/>
    </xf>
    <xf numFmtId="0" fontId="0" fillId="0" borderId="0" xfId="0" applyAlignment="1">
      <alignment vertical="top" wrapText="1"/>
    </xf>
    <xf numFmtId="164" fontId="0" fillId="0" borderId="0" xfId="6" applyFont="1" applyFill="1" applyBorder="1" applyAlignment="1">
      <alignment horizontal="center" vertical="center"/>
    </xf>
    <xf numFmtId="0" fontId="0" fillId="0" borderId="0" xfId="0" applyFont="1" applyFill="1" applyBorder="1" applyAlignment="1">
      <alignment horizontal="left" vertical="top" wrapText="1"/>
    </xf>
    <xf numFmtId="0" fontId="0" fillId="0" borderId="0" xfId="0" applyFont="1" applyFill="1" applyBorder="1" applyAlignment="1">
      <alignment horizontal="left" vertical="center" wrapText="1"/>
    </xf>
    <xf numFmtId="0" fontId="0" fillId="0" borderId="2" xfId="0" applyFont="1" applyBorder="1" applyAlignment="1">
      <alignment horizontal="left" vertical="center" wrapText="1"/>
    </xf>
    <xf numFmtId="0" fontId="0" fillId="0" borderId="5" xfId="0" applyFont="1" applyBorder="1" applyAlignment="1">
      <alignment horizontal="left" vertical="center" wrapText="1"/>
    </xf>
    <xf numFmtId="0" fontId="0" fillId="0" borderId="1" xfId="0" applyFont="1" applyBorder="1" applyAlignment="1">
      <alignment horizontal="left" vertical="center" wrapText="1"/>
    </xf>
    <xf numFmtId="0" fontId="0" fillId="0" borderId="0" xfId="0" applyAlignment="1">
      <alignment horizontal="left" vertical="center" wrapText="1"/>
    </xf>
    <xf numFmtId="164" fontId="0" fillId="0" borderId="0" xfId="6" applyFont="1" applyFill="1" applyBorder="1" applyAlignment="1">
      <alignment horizontal="left" vertical="center"/>
    </xf>
    <xf numFmtId="0" fontId="0" fillId="0" borderId="0" xfId="0" applyFont="1" applyFill="1" applyBorder="1" applyAlignment="1">
      <alignment horizontal="justify" vertical="top" wrapText="1"/>
    </xf>
    <xf numFmtId="0" fontId="7" fillId="0" borderId="2" xfId="0" applyFont="1" applyBorder="1" applyAlignment="1">
      <alignment horizontal="justify" vertical="top" wrapText="1"/>
    </xf>
    <xf numFmtId="0" fontId="7" fillId="0" borderId="5" xfId="0" applyFont="1" applyBorder="1" applyAlignment="1">
      <alignment horizontal="justify" vertical="top" wrapText="1"/>
    </xf>
    <xf numFmtId="9" fontId="0" fillId="4" borderId="0" xfId="5" applyFont="1" applyFill="1" applyBorder="1" applyAlignment="1">
      <alignment horizontal="left" vertical="center"/>
    </xf>
    <xf numFmtId="0" fontId="8" fillId="5" borderId="0" xfId="0" applyFont="1" applyFill="1">
      <alignment wrapText="1"/>
    </xf>
    <xf numFmtId="0" fontId="0" fillId="0" borderId="0" xfId="0" quotePrefix="1" applyFont="1" applyFill="1" applyBorder="1" applyAlignment="1">
      <alignment horizontal="justify" vertical="top" wrapText="1"/>
    </xf>
    <xf numFmtId="0" fontId="0" fillId="0" borderId="5" xfId="0" applyFont="1" applyBorder="1" applyAlignment="1">
      <alignment horizontal="justify" vertical="top" wrapText="1"/>
    </xf>
    <xf numFmtId="0" fontId="0" fillId="0" borderId="0" xfId="0" applyFont="1" applyAlignment="1">
      <alignment horizontal="left" vertical="center" wrapText="1"/>
    </xf>
    <xf numFmtId="0" fontId="4" fillId="2" borderId="4" xfId="3">
      <alignment horizontal="left"/>
    </xf>
    <xf numFmtId="164" fontId="4" fillId="2" borderId="5" xfId="6" applyFont="1" applyFill="1" applyBorder="1" applyAlignment="1">
      <alignment horizontal="left"/>
    </xf>
    <xf numFmtId="0" fontId="7" fillId="0" borderId="1" xfId="0" applyFont="1" applyBorder="1" applyAlignment="1">
      <alignment horizontal="left" vertical="center" wrapText="1"/>
    </xf>
    <xf numFmtId="0" fontId="7" fillId="0" borderId="0" xfId="0" applyFont="1" applyAlignment="1">
      <alignment horizontal="left" vertical="center" wrapText="1"/>
    </xf>
    <xf numFmtId="165" fontId="0" fillId="0" borderId="0" xfId="0" applyNumberFormat="1" applyFont="1" applyFill="1" applyBorder="1" applyAlignment="1">
      <alignment horizontal="justify" vertical="top" wrapText="1"/>
    </xf>
    <xf numFmtId="165" fontId="0" fillId="0" borderId="0" xfId="0" quotePrefix="1" applyNumberFormat="1" applyFont="1" applyFill="1" applyBorder="1" applyAlignment="1">
      <alignment horizontal="justify" vertical="top" wrapText="1"/>
    </xf>
    <xf numFmtId="166" fontId="6" fillId="0" borderId="0" xfId="0" applyNumberFormat="1" applyFont="1">
      <alignment wrapText="1"/>
    </xf>
    <xf numFmtId="166" fontId="0" fillId="0" borderId="0" xfId="0" applyNumberFormat="1" applyAlignment="1">
      <alignment horizontal="left" vertical="center" wrapText="1"/>
    </xf>
    <xf numFmtId="9" fontId="0" fillId="0" borderId="0" xfId="5" applyFont="1" applyAlignment="1">
      <alignment wrapText="1"/>
    </xf>
    <xf numFmtId="0" fontId="4" fillId="2" borderId="4" xfId="3">
      <alignment horizontal="left"/>
    </xf>
    <xf numFmtId="164" fontId="4" fillId="2" borderId="5" xfId="6" applyFont="1" applyFill="1" applyBorder="1" applyAlignment="1">
      <alignment horizontal="left"/>
    </xf>
    <xf numFmtId="164" fontId="4" fillId="2" borderId="3" xfId="6" applyFont="1" applyFill="1" applyBorder="1" applyAlignment="1">
      <alignment horizontal="left"/>
    </xf>
    <xf numFmtId="0" fontId="5" fillId="3" borderId="0" xfId="2"/>
    <xf numFmtId="0" fontId="3" fillId="3" borderId="0" xfId="4" applyAlignment="1">
      <alignment horizontal="right"/>
    </xf>
    <xf numFmtId="0" fontId="3" fillId="3" borderId="6" xfId="4" applyBorder="1" applyAlignment="1">
      <alignment horizontal="right"/>
    </xf>
    <xf numFmtId="0" fontId="2" fillId="2" borderId="0" xfId="1" applyAlignment="1">
      <alignment horizontal="left"/>
    </xf>
    <xf numFmtId="0" fontId="0" fillId="0" borderId="0" xfId="0" applyAlignment="1">
      <alignment horizontal="center" wrapText="1"/>
    </xf>
  </cellXfs>
  <cellStyles count="7">
    <cellStyle name="Date" xfId="6"/>
    <cellStyle name="Heading 1" xfId="2" builtinId="16" customBuiltin="1"/>
    <cellStyle name="Heading 2" xfId="3" builtinId="17" customBuiltin="1"/>
    <cellStyle name="Heading 3" xfId="4" builtinId="18" customBuiltin="1"/>
    <cellStyle name="Normal" xfId="0" builtinId="0" customBuiltin="1"/>
    <cellStyle name="Percent" xfId="5" builtinId="5"/>
    <cellStyle name="Title" xfId="1" builtinId="15" customBuiltin="1"/>
  </cellStyles>
  <dxfs count="19">
    <dxf>
      <alignment horizontal="general" vertical="top" textRotation="0" wrapText="1" indent="0" justifyLastLine="0" shrinkToFit="0" readingOrder="0"/>
    </dxf>
    <dxf>
      <fill>
        <patternFill>
          <fgColor indexed="64"/>
          <bgColor rgb="FFFF0000"/>
        </patternFill>
      </fill>
    </dxf>
    <dxf>
      <font>
        <b val="0"/>
        <i val="0"/>
        <strike val="0"/>
        <outline val="0"/>
        <shadow val="0"/>
        <u val="none"/>
        <vertAlign val="baseline"/>
        <sz val="11"/>
        <color theme="1"/>
        <name val="Perpetua"/>
        <family val="1"/>
        <scheme val="minor"/>
      </font>
    </dxf>
    <dxf>
      <alignment horizontal="general" vertical="top" textRotation="0" wrapText="1" indent="0" justifyLastLine="0" shrinkToFit="0" readingOrder="0"/>
    </dxf>
    <dxf>
      <alignment horizontal="justify"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fill>
        <patternFill>
          <fgColor indexed="64"/>
          <bgColor rgb="FFFF0000"/>
        </patternFill>
      </fill>
    </dxf>
    <dxf>
      <alignment horizontal="justify" vertical="top" textRotation="0" wrapText="1" indent="0" justifyLastLine="0" shrinkToFit="0" readingOrder="0"/>
    </dxf>
    <dxf>
      <alignment horizontal="general" vertical="top" textRotation="0" wrapText="1" indent="0" justifyLastLine="0" shrinkToFit="0" readingOrder="0"/>
    </dxf>
    <dxf>
      <fill>
        <patternFill>
          <fgColor indexed="64"/>
          <bgColor rgb="FFFF0000"/>
        </patternFill>
      </fill>
    </dxf>
    <dxf>
      <fill>
        <patternFill patternType="solid">
          <fgColor theme="6" tint="0.59999389629810485"/>
          <bgColor theme="6" tint="0.59999389629810485"/>
        </patternFill>
      </fill>
    </dxf>
    <dxf>
      <fill>
        <patternFill patternType="solid">
          <fgColor theme="6" tint="0.59999389629810485"/>
          <bgColor theme="6" tint="0.59999389629810485"/>
        </patternFill>
      </fill>
    </dxf>
    <dxf>
      <font>
        <b/>
        <color theme="0"/>
      </font>
      <fill>
        <patternFill patternType="solid">
          <fgColor theme="6"/>
          <bgColor theme="6"/>
        </patternFill>
      </fill>
    </dxf>
    <dxf>
      <font>
        <b/>
        <color theme="0"/>
      </font>
      <fill>
        <patternFill patternType="solid">
          <fgColor theme="6"/>
          <bgColor theme="6"/>
        </patternFill>
      </fill>
    </dxf>
    <dxf>
      <font>
        <b/>
        <color theme="0"/>
      </font>
      <fill>
        <patternFill patternType="solid">
          <fgColor theme="6"/>
          <bgColor theme="6"/>
        </patternFill>
      </fill>
      <border>
        <top style="thick">
          <color theme="0"/>
        </top>
      </border>
    </dxf>
    <dxf>
      <font>
        <b/>
        <color theme="0"/>
      </font>
      <fill>
        <patternFill patternType="solid">
          <fgColor theme="6"/>
          <bgColor theme="6" tint="-0.24994659260841701"/>
        </patternFill>
      </fill>
      <border>
        <bottom style="thick">
          <color theme="0"/>
        </bottom>
      </border>
    </dxf>
    <dxf>
      <font>
        <color theme="1"/>
      </font>
      <fill>
        <patternFill patternType="solid">
          <fgColor theme="6" tint="0.79998168889431442"/>
          <bgColor theme="6" tint="0.79998168889431442"/>
        </patternFill>
      </fill>
      <border>
        <vertical style="thin">
          <color theme="0"/>
        </vertical>
        <horizontal style="thin">
          <color theme="0"/>
        </horizontal>
      </border>
    </dxf>
  </dxfs>
  <tableStyles count="1" defaultTableStyle="To-do list for projects">
    <tableStyle name="To-do list for projects" pivot="0" count="7">
      <tableStyleElement type="wholeTable" dxfId="18"/>
      <tableStyleElement type="headerRow" dxfId="17"/>
      <tableStyleElement type="totalRow" dxfId="16"/>
      <tableStyleElement type="firstColumn" dxfId="15"/>
      <tableStyleElement type="lastColumn" dxfId="14"/>
      <tableStyleElement type="firstRowStripe" dxfId="13"/>
      <tableStyleElement type="firstColumnStripe" dxfId="1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manualLayout>
          <c:layoutTarget val="inner"/>
          <c:xMode val="edge"/>
          <c:yMode val="edge"/>
          <c:x val="2.4536995136144379E-2"/>
          <c:y val="9.880556212228668E-2"/>
          <c:w val="0.95474405789366423"/>
          <c:h val="0.83677943858712578"/>
        </c:manualLayout>
      </c:layout>
      <c:scatterChart>
        <c:scatterStyle val="lineMarker"/>
        <c:varyColors val="0"/>
        <c:ser>
          <c:idx val="1"/>
          <c:order val="0"/>
          <c:tx>
            <c:strRef>
              <c:f>DeratingCurves!$A$3</c:f>
              <c:strCache>
                <c:ptCount val="1"/>
                <c:pt idx="0">
                  <c:v>Curr &lt;&gt; Temp</c:v>
                </c:pt>
              </c:strCache>
            </c:strRef>
          </c:tx>
          <c:xVal>
            <c:numRef>
              <c:f>DeratingCurves!$B$5:$B$25</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xVal>
          <c:yVal>
            <c:numRef>
              <c:f>DeratingCurves!$A$5:$A$25</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yVal>
          <c:smooth val="0"/>
          <c:extLst>
            <c:ext xmlns:c16="http://schemas.microsoft.com/office/drawing/2014/chart" uri="{C3380CC4-5D6E-409C-BE32-E72D297353CC}">
              <c16:uniqueId val="{00000004-1172-4034-819C-465B85FA2F47}"/>
            </c:ext>
          </c:extLst>
        </c:ser>
        <c:dLbls>
          <c:showLegendKey val="0"/>
          <c:showVal val="0"/>
          <c:showCatName val="0"/>
          <c:showSerName val="0"/>
          <c:showPercent val="0"/>
          <c:showBubbleSize val="0"/>
        </c:dLbls>
        <c:axId val="355291984"/>
        <c:axId val="356209536"/>
      </c:scatterChart>
      <c:valAx>
        <c:axId val="3552919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56209536"/>
        <c:crosses val="autoZero"/>
        <c:crossBetween val="midCat"/>
      </c:valAx>
      <c:valAx>
        <c:axId val="3562095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55291984"/>
        <c:crosses val="autoZero"/>
        <c:crossBetween val="midCat"/>
      </c:valAx>
    </c:plotArea>
    <c:plotVisOnly val="1"/>
    <c:dispBlanksAs val="gap"/>
    <c:showDLblsOverMax val="0"/>
  </c:chart>
  <c:txPr>
    <a:bodyPr/>
    <a:lstStyle/>
    <a:p>
      <a:pPr>
        <a:defRPr/>
      </a:pPr>
      <a:endParaRPr lang="cs-CZ"/>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cs-CZ"/>
        </a:p>
      </c:txPr>
    </c:title>
    <c:autoTitleDeleted val="0"/>
    <c:plotArea>
      <c:layout>
        <c:manualLayout>
          <c:layoutTarget val="inner"/>
          <c:xMode val="edge"/>
          <c:yMode val="edge"/>
          <c:x val="3.0784327634721335E-2"/>
          <c:y val="0.11594643889852752"/>
          <c:w val="0.95474405789366423"/>
          <c:h val="0.83677943858712578"/>
        </c:manualLayout>
      </c:layout>
      <c:scatterChart>
        <c:scatterStyle val="lineMarker"/>
        <c:varyColors val="0"/>
        <c:ser>
          <c:idx val="1"/>
          <c:order val="0"/>
          <c:tx>
            <c:strRef>
              <c:f>DeratingCurves!$C$3</c:f>
              <c:strCache>
                <c:ptCount val="1"/>
                <c:pt idx="0">
                  <c:v>Curr &lt;&gt; Charge</c:v>
                </c:pt>
              </c:strCache>
            </c:strRef>
          </c:tx>
          <c:xVal>
            <c:numRef>
              <c:f>DeratingCurves!$D$5:$D$25</c:f>
              <c:numCache>
                <c:formatCode>0%</c:formatCode>
                <c:ptCount val="21"/>
                <c:pt idx="0">
                  <c:v>0</c:v>
                </c:pt>
                <c:pt idx="1">
                  <c:v>0.05</c:v>
                </c:pt>
                <c:pt idx="2">
                  <c:v>0.1</c:v>
                </c:pt>
                <c:pt idx="3">
                  <c:v>0.15000000000000002</c:v>
                </c:pt>
                <c:pt idx="4">
                  <c:v>0.2</c:v>
                </c:pt>
                <c:pt idx="5">
                  <c:v>0.25</c:v>
                </c:pt>
                <c:pt idx="6">
                  <c:v>0.30000000000000004</c:v>
                </c:pt>
                <c:pt idx="7">
                  <c:v>0.35000000000000003</c:v>
                </c:pt>
                <c:pt idx="8">
                  <c:v>0.4</c:v>
                </c:pt>
                <c:pt idx="9">
                  <c:v>0.45</c:v>
                </c:pt>
                <c:pt idx="10">
                  <c:v>0.5</c:v>
                </c:pt>
                <c:pt idx="11">
                  <c:v>0.55000000000000004</c:v>
                </c:pt>
                <c:pt idx="12">
                  <c:v>0.60000000000000009</c:v>
                </c:pt>
                <c:pt idx="13">
                  <c:v>0.65</c:v>
                </c:pt>
                <c:pt idx="14">
                  <c:v>0.70000000000000007</c:v>
                </c:pt>
                <c:pt idx="15">
                  <c:v>0.75</c:v>
                </c:pt>
                <c:pt idx="16">
                  <c:v>0.8</c:v>
                </c:pt>
                <c:pt idx="17">
                  <c:v>0.85000000000000009</c:v>
                </c:pt>
                <c:pt idx="18">
                  <c:v>0.9</c:v>
                </c:pt>
                <c:pt idx="19">
                  <c:v>0.95</c:v>
                </c:pt>
                <c:pt idx="20">
                  <c:v>1</c:v>
                </c:pt>
              </c:numCache>
            </c:numRef>
          </c:xVal>
          <c:yVal>
            <c:numRef>
              <c:f>DeratingCurves!$C$5:$C$25</c:f>
              <c:numCache>
                <c:formatCode>0%</c:formatCode>
                <c:ptCount val="21"/>
                <c:pt idx="0">
                  <c:v>0</c:v>
                </c:pt>
                <c:pt idx="1">
                  <c:v>0</c:v>
                </c:pt>
                <c:pt idx="2">
                  <c:v>0.49999997019767761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numCache>
            </c:numRef>
          </c:yVal>
          <c:smooth val="0"/>
          <c:extLst>
            <c:ext xmlns:c16="http://schemas.microsoft.com/office/drawing/2014/chart" uri="{C3380CC4-5D6E-409C-BE32-E72D297353CC}">
              <c16:uniqueId val="{00000000-C98D-4C4D-8E87-34C95D51C50B}"/>
            </c:ext>
          </c:extLst>
        </c:ser>
        <c:dLbls>
          <c:showLegendKey val="0"/>
          <c:showVal val="0"/>
          <c:showCatName val="0"/>
          <c:showSerName val="0"/>
          <c:showPercent val="0"/>
          <c:showBubbleSize val="0"/>
        </c:dLbls>
        <c:axId val="355291984"/>
        <c:axId val="356209536"/>
      </c:scatterChart>
      <c:valAx>
        <c:axId val="355291984"/>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56209536"/>
        <c:crosses val="autoZero"/>
        <c:crossBetween val="midCat"/>
      </c:valAx>
      <c:valAx>
        <c:axId val="356209536"/>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355291984"/>
        <c:crosses val="autoZero"/>
        <c:crossBetween val="midCat"/>
      </c:valAx>
    </c:plotArea>
    <c:plotVisOnly val="1"/>
    <c:dispBlanksAs val="gap"/>
    <c:showDLblsOverMax val="0"/>
  </c:chart>
  <c:txPr>
    <a:bodyPr/>
    <a:lstStyle/>
    <a:p>
      <a:pPr>
        <a:defRPr/>
      </a:pPr>
      <a:endParaRPr lang="cs-CZ"/>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Derating</a:t>
            </a:r>
            <a:endParaRPr lang="cs-CZ"/>
          </a:p>
        </c:rich>
      </c:tx>
      <c:overlay val="0"/>
      <c:spPr>
        <a:noFill/>
        <a:ln>
          <a:noFill/>
        </a:ln>
        <a:effectLst/>
      </c:spPr>
    </c:title>
    <c:autoTitleDeleted val="0"/>
    <c:view3D>
      <c:rotX val="15"/>
      <c:rotY val="3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7.2880482331012977E-2"/>
          <c:y val="0.10279212531039525"/>
          <c:w val="0.84516889193198674"/>
          <c:h val="0.85182530938446555"/>
        </c:manualLayout>
      </c:layout>
      <c:surface3DChart>
        <c:wireframe val="0"/>
        <c:ser>
          <c:idx val="1"/>
          <c:order val="0"/>
          <c:tx>
            <c:strRef>
              <c:f>DeratingCurves!$D$5</c:f>
              <c:strCache>
                <c:ptCount val="1"/>
                <c:pt idx="0">
                  <c:v>0%</c:v>
                </c:pt>
              </c:strCache>
            </c:strRef>
          </c:tx>
          <c:spPr>
            <a:solidFill>
              <a:schemeClr val="accent2"/>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DeratingCurves!$E$5:$Y$5</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1-D2E7-41EB-82B2-BC1EC0B7F5A1}"/>
            </c:ext>
          </c:extLst>
        </c:ser>
        <c:ser>
          <c:idx val="2"/>
          <c:order val="1"/>
          <c:tx>
            <c:strRef>
              <c:f>DeratingCurves!$D$6</c:f>
              <c:strCache>
                <c:ptCount val="1"/>
                <c:pt idx="0">
                  <c:v>5%</c:v>
                </c:pt>
              </c:strCache>
            </c:strRef>
          </c:tx>
          <c:spPr>
            <a:solidFill>
              <a:schemeClr val="accent3"/>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DeratingCurves!$E$6:$Y$6</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2-D2E7-41EB-82B2-BC1EC0B7F5A1}"/>
            </c:ext>
          </c:extLst>
        </c:ser>
        <c:ser>
          <c:idx val="3"/>
          <c:order val="2"/>
          <c:tx>
            <c:strRef>
              <c:f>DeratingCurves!$D$7</c:f>
              <c:strCache>
                <c:ptCount val="1"/>
                <c:pt idx="0">
                  <c:v>10%</c:v>
                </c:pt>
              </c:strCache>
            </c:strRef>
          </c:tx>
          <c:spPr>
            <a:solidFill>
              <a:schemeClr val="accent4"/>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DeratingCurves!$E$7:$Y$7</c:f>
              <c:numCache>
                <c:formatCode>0%</c:formatCode>
                <c:ptCount val="21"/>
                <c:pt idx="0">
                  <c:v>0</c:v>
                </c:pt>
                <c:pt idx="1">
                  <c:v>0</c:v>
                </c:pt>
                <c:pt idx="2">
                  <c:v>0</c:v>
                </c:pt>
                <c:pt idx="3">
                  <c:v>0</c:v>
                </c:pt>
                <c:pt idx="4">
                  <c:v>0</c:v>
                </c:pt>
                <c:pt idx="5">
                  <c:v>0.38461539149284363</c:v>
                </c:pt>
                <c:pt idx="6">
                  <c:v>0.49999997019767761</c:v>
                </c:pt>
                <c:pt idx="7">
                  <c:v>0.49999997019767761</c:v>
                </c:pt>
                <c:pt idx="8">
                  <c:v>0.49999997019767761</c:v>
                </c:pt>
                <c:pt idx="9">
                  <c:v>0.49999997019767761</c:v>
                </c:pt>
                <c:pt idx="10">
                  <c:v>0.49999997019767761</c:v>
                </c:pt>
                <c:pt idx="11">
                  <c:v>0.49999997019767761</c:v>
                </c:pt>
                <c:pt idx="12">
                  <c:v>0.49999997019767761</c:v>
                </c:pt>
                <c:pt idx="13">
                  <c:v>0.49999997019767761</c:v>
                </c:pt>
                <c:pt idx="14">
                  <c:v>0.49999997019767761</c:v>
                </c:pt>
                <c:pt idx="15">
                  <c:v>0.49999997019767761</c:v>
                </c:pt>
                <c:pt idx="16">
                  <c:v>0.49999997019767761</c:v>
                </c:pt>
                <c:pt idx="17">
                  <c:v>0.125</c:v>
                </c:pt>
                <c:pt idx="18">
                  <c:v>0</c:v>
                </c:pt>
                <c:pt idx="19">
                  <c:v>0</c:v>
                </c:pt>
                <c:pt idx="20">
                  <c:v>0</c:v>
                </c:pt>
              </c:numCache>
            </c:numRef>
          </c:val>
          <c:extLst>
            <c:ext xmlns:c16="http://schemas.microsoft.com/office/drawing/2014/chart" uri="{C3380CC4-5D6E-409C-BE32-E72D297353CC}">
              <c16:uniqueId val="{00000003-D2E7-41EB-82B2-BC1EC0B7F5A1}"/>
            </c:ext>
          </c:extLst>
        </c:ser>
        <c:ser>
          <c:idx val="4"/>
          <c:order val="3"/>
          <c:tx>
            <c:strRef>
              <c:f>DeratingCurves!$D$8</c:f>
              <c:strCache>
                <c:ptCount val="1"/>
                <c:pt idx="0">
                  <c:v>15%</c:v>
                </c:pt>
              </c:strCache>
            </c:strRef>
          </c:tx>
          <c:spPr>
            <a:solidFill>
              <a:schemeClr val="accent5"/>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DeratingCurves!$E$8:$Y$8</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4-D2E7-41EB-82B2-BC1EC0B7F5A1}"/>
            </c:ext>
          </c:extLst>
        </c:ser>
        <c:ser>
          <c:idx val="5"/>
          <c:order val="4"/>
          <c:tx>
            <c:strRef>
              <c:f>DeratingCurves!$D$9</c:f>
              <c:strCache>
                <c:ptCount val="1"/>
                <c:pt idx="0">
                  <c:v>20%</c:v>
                </c:pt>
              </c:strCache>
            </c:strRef>
          </c:tx>
          <c:spPr>
            <a:solidFill>
              <a:schemeClr val="accent6"/>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DeratingCurves!$E$9:$Y$9</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5-D2E7-41EB-82B2-BC1EC0B7F5A1}"/>
            </c:ext>
          </c:extLst>
        </c:ser>
        <c:ser>
          <c:idx val="6"/>
          <c:order val="5"/>
          <c:tx>
            <c:strRef>
              <c:f>DeratingCurves!$D$10</c:f>
              <c:strCache>
                <c:ptCount val="1"/>
                <c:pt idx="0">
                  <c:v>25%</c:v>
                </c:pt>
              </c:strCache>
            </c:strRef>
          </c:tx>
          <c:spPr>
            <a:solidFill>
              <a:schemeClr val="accent1">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DeratingCurves!$E$10:$Y$10</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6-D2E7-41EB-82B2-BC1EC0B7F5A1}"/>
            </c:ext>
          </c:extLst>
        </c:ser>
        <c:ser>
          <c:idx val="7"/>
          <c:order val="6"/>
          <c:tx>
            <c:strRef>
              <c:f>DeratingCurves!$D$11</c:f>
              <c:strCache>
                <c:ptCount val="1"/>
                <c:pt idx="0">
                  <c:v>30%</c:v>
                </c:pt>
              </c:strCache>
            </c:strRef>
          </c:tx>
          <c:spPr>
            <a:solidFill>
              <a:schemeClr val="accent2">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DeratingCurves!$E$11:$Y$11</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7-D2E7-41EB-82B2-BC1EC0B7F5A1}"/>
            </c:ext>
          </c:extLst>
        </c:ser>
        <c:ser>
          <c:idx val="8"/>
          <c:order val="7"/>
          <c:tx>
            <c:strRef>
              <c:f>DeratingCurves!$D$12</c:f>
              <c:strCache>
                <c:ptCount val="1"/>
                <c:pt idx="0">
                  <c:v>35%</c:v>
                </c:pt>
              </c:strCache>
            </c:strRef>
          </c:tx>
          <c:spPr>
            <a:solidFill>
              <a:schemeClr val="accent3">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DeratingCurves!$E$12:$Y$12</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8-D2E7-41EB-82B2-BC1EC0B7F5A1}"/>
            </c:ext>
          </c:extLst>
        </c:ser>
        <c:ser>
          <c:idx val="9"/>
          <c:order val="8"/>
          <c:tx>
            <c:strRef>
              <c:f>DeratingCurves!$D$13</c:f>
              <c:strCache>
                <c:ptCount val="1"/>
                <c:pt idx="0">
                  <c:v>40%</c:v>
                </c:pt>
              </c:strCache>
            </c:strRef>
          </c:tx>
          <c:spPr>
            <a:solidFill>
              <a:schemeClr val="accent4">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DeratingCurves!$E$13:$Y$13</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9-D2E7-41EB-82B2-BC1EC0B7F5A1}"/>
            </c:ext>
          </c:extLst>
        </c:ser>
        <c:ser>
          <c:idx val="10"/>
          <c:order val="9"/>
          <c:tx>
            <c:strRef>
              <c:f>DeratingCurves!$D$14</c:f>
              <c:strCache>
                <c:ptCount val="1"/>
                <c:pt idx="0">
                  <c:v>45%</c:v>
                </c:pt>
              </c:strCache>
            </c:strRef>
          </c:tx>
          <c:spPr>
            <a:solidFill>
              <a:schemeClr val="accent5">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DeratingCurves!$E$14:$Y$14</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A-D2E7-41EB-82B2-BC1EC0B7F5A1}"/>
            </c:ext>
          </c:extLst>
        </c:ser>
        <c:ser>
          <c:idx val="11"/>
          <c:order val="10"/>
          <c:tx>
            <c:strRef>
              <c:f>DeratingCurves!$D$15</c:f>
              <c:strCache>
                <c:ptCount val="1"/>
                <c:pt idx="0">
                  <c:v>50%</c:v>
                </c:pt>
              </c:strCache>
            </c:strRef>
          </c:tx>
          <c:spPr>
            <a:solidFill>
              <a:schemeClr val="accent6">
                <a:lumMod val="6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DeratingCurves!$E$15:$Y$15</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B-D2E7-41EB-82B2-BC1EC0B7F5A1}"/>
            </c:ext>
          </c:extLst>
        </c:ser>
        <c:ser>
          <c:idx val="12"/>
          <c:order val="11"/>
          <c:tx>
            <c:strRef>
              <c:f>DeratingCurves!$D$16</c:f>
              <c:strCache>
                <c:ptCount val="1"/>
                <c:pt idx="0">
                  <c:v>55%</c:v>
                </c:pt>
              </c:strCache>
            </c:strRef>
          </c:tx>
          <c:spPr>
            <a:solidFill>
              <a:schemeClr val="accent1">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DeratingCurves!$E$16:$Y$16</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C-D2E7-41EB-82B2-BC1EC0B7F5A1}"/>
            </c:ext>
          </c:extLst>
        </c:ser>
        <c:ser>
          <c:idx val="13"/>
          <c:order val="12"/>
          <c:tx>
            <c:strRef>
              <c:f>DeratingCurves!$D$17</c:f>
              <c:strCache>
                <c:ptCount val="1"/>
                <c:pt idx="0">
                  <c:v>60%</c:v>
                </c:pt>
              </c:strCache>
            </c:strRef>
          </c:tx>
          <c:spPr>
            <a:solidFill>
              <a:schemeClr val="accent2">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DeratingCurves!$E$17:$Y$17</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D-D2E7-41EB-82B2-BC1EC0B7F5A1}"/>
            </c:ext>
          </c:extLst>
        </c:ser>
        <c:ser>
          <c:idx val="14"/>
          <c:order val="13"/>
          <c:tx>
            <c:strRef>
              <c:f>DeratingCurves!$D$18</c:f>
              <c:strCache>
                <c:ptCount val="1"/>
                <c:pt idx="0">
                  <c:v>65%</c:v>
                </c:pt>
              </c:strCache>
            </c:strRef>
          </c:tx>
          <c:spPr>
            <a:solidFill>
              <a:schemeClr val="accent3">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DeratingCurves!$E$18:$Y$18</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E-D2E7-41EB-82B2-BC1EC0B7F5A1}"/>
            </c:ext>
          </c:extLst>
        </c:ser>
        <c:ser>
          <c:idx val="15"/>
          <c:order val="14"/>
          <c:tx>
            <c:strRef>
              <c:f>DeratingCurves!$D$19</c:f>
              <c:strCache>
                <c:ptCount val="1"/>
                <c:pt idx="0">
                  <c:v>70%</c:v>
                </c:pt>
              </c:strCache>
            </c:strRef>
          </c:tx>
          <c:spPr>
            <a:solidFill>
              <a:schemeClr val="accent4">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DeratingCurves!$E$19:$Y$19</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0F-D2E7-41EB-82B2-BC1EC0B7F5A1}"/>
            </c:ext>
          </c:extLst>
        </c:ser>
        <c:ser>
          <c:idx val="16"/>
          <c:order val="15"/>
          <c:tx>
            <c:strRef>
              <c:f>DeratingCurves!$D$20</c:f>
              <c:strCache>
                <c:ptCount val="1"/>
                <c:pt idx="0">
                  <c:v>75%</c:v>
                </c:pt>
              </c:strCache>
            </c:strRef>
          </c:tx>
          <c:spPr>
            <a:solidFill>
              <a:schemeClr val="accent5">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DeratingCurves!$E$20:$Y$20</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0-D2E7-41EB-82B2-BC1EC0B7F5A1}"/>
            </c:ext>
          </c:extLst>
        </c:ser>
        <c:ser>
          <c:idx val="17"/>
          <c:order val="16"/>
          <c:tx>
            <c:strRef>
              <c:f>DeratingCurves!$D$21</c:f>
              <c:strCache>
                <c:ptCount val="1"/>
                <c:pt idx="0">
                  <c:v>80%</c:v>
                </c:pt>
              </c:strCache>
            </c:strRef>
          </c:tx>
          <c:spPr>
            <a:solidFill>
              <a:schemeClr val="accent6">
                <a:lumMod val="80000"/>
                <a:lumOff val="2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DeratingCurves!$E$21:$Y$21</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1-D2E7-41EB-82B2-BC1EC0B7F5A1}"/>
            </c:ext>
          </c:extLst>
        </c:ser>
        <c:ser>
          <c:idx val="18"/>
          <c:order val="17"/>
          <c:tx>
            <c:strRef>
              <c:f>DeratingCurves!$D$22</c:f>
              <c:strCache>
                <c:ptCount val="1"/>
                <c:pt idx="0">
                  <c:v>85%</c:v>
                </c:pt>
              </c:strCache>
            </c:strRef>
          </c:tx>
          <c:spPr>
            <a:solidFill>
              <a:schemeClr val="accent1">
                <a:lumMod val="8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DeratingCurves!$E$22:$Y$22</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2-D2E7-41EB-82B2-BC1EC0B7F5A1}"/>
            </c:ext>
          </c:extLst>
        </c:ser>
        <c:ser>
          <c:idx val="19"/>
          <c:order val="18"/>
          <c:tx>
            <c:strRef>
              <c:f>DeratingCurves!$D$23</c:f>
              <c:strCache>
                <c:ptCount val="1"/>
                <c:pt idx="0">
                  <c:v>90%</c:v>
                </c:pt>
              </c:strCache>
            </c:strRef>
          </c:tx>
          <c:spPr>
            <a:solidFill>
              <a:schemeClr val="accent2">
                <a:lumMod val="8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DeratingCurves!$E$23:$Y$23</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3-D2E7-41EB-82B2-BC1EC0B7F5A1}"/>
            </c:ext>
          </c:extLst>
        </c:ser>
        <c:ser>
          <c:idx val="20"/>
          <c:order val="19"/>
          <c:tx>
            <c:strRef>
              <c:f>DeratingCurves!$D$24</c:f>
              <c:strCache>
                <c:ptCount val="1"/>
                <c:pt idx="0">
                  <c:v>95%</c:v>
                </c:pt>
              </c:strCache>
            </c:strRef>
          </c:tx>
          <c:spPr>
            <a:solidFill>
              <a:schemeClr val="accent3">
                <a:lumMod val="8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DeratingCurves!$E$24:$Y$24</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4-D2E7-41EB-82B2-BC1EC0B7F5A1}"/>
            </c:ext>
          </c:extLst>
        </c:ser>
        <c:ser>
          <c:idx val="21"/>
          <c:order val="20"/>
          <c:tx>
            <c:strRef>
              <c:f>DeratingCurves!$D$25</c:f>
              <c:strCache>
                <c:ptCount val="1"/>
                <c:pt idx="0">
                  <c:v>100%</c:v>
                </c:pt>
              </c:strCache>
            </c:strRef>
          </c:tx>
          <c:spPr>
            <a:solidFill>
              <a:schemeClr val="accent4">
                <a:lumMod val="80000"/>
              </a:schemeClr>
            </a:solidFill>
            <a:ln/>
            <a:effectLst/>
            <a:sp3d/>
          </c:spPr>
          <c:cat>
            <c:numRef>
              <c:f>DeratingCurves!$E$4:$Y$4</c:f>
              <c:numCache>
                <c:formatCode>General</c:formatCode>
                <c:ptCount val="21"/>
                <c:pt idx="0">
                  <c:v>-30</c:v>
                </c:pt>
                <c:pt idx="1">
                  <c:v>-25</c:v>
                </c:pt>
                <c:pt idx="2">
                  <c:v>-20</c:v>
                </c:pt>
                <c:pt idx="3">
                  <c:v>-15</c:v>
                </c:pt>
                <c:pt idx="4">
                  <c:v>-10</c:v>
                </c:pt>
                <c:pt idx="5">
                  <c:v>-5</c:v>
                </c:pt>
                <c:pt idx="6">
                  <c:v>0</c:v>
                </c:pt>
                <c:pt idx="7">
                  <c:v>3</c:v>
                </c:pt>
                <c:pt idx="8">
                  <c:v>10</c:v>
                </c:pt>
                <c:pt idx="9">
                  <c:v>15</c:v>
                </c:pt>
                <c:pt idx="10">
                  <c:v>20</c:v>
                </c:pt>
                <c:pt idx="11">
                  <c:v>25</c:v>
                </c:pt>
                <c:pt idx="12">
                  <c:v>30</c:v>
                </c:pt>
                <c:pt idx="13">
                  <c:v>35</c:v>
                </c:pt>
                <c:pt idx="14">
                  <c:v>40</c:v>
                </c:pt>
                <c:pt idx="15">
                  <c:v>48</c:v>
                </c:pt>
                <c:pt idx="16">
                  <c:v>50</c:v>
                </c:pt>
                <c:pt idx="17">
                  <c:v>55</c:v>
                </c:pt>
                <c:pt idx="18">
                  <c:v>56</c:v>
                </c:pt>
                <c:pt idx="19">
                  <c:v>65</c:v>
                </c:pt>
                <c:pt idx="20">
                  <c:v>70</c:v>
                </c:pt>
              </c:numCache>
            </c:numRef>
          </c:cat>
          <c:val>
            <c:numRef>
              <c:f>DeratingCurves!$E$25:$Y$25</c:f>
              <c:numCache>
                <c:formatCode>0%</c:formatCode>
                <c:ptCount val="21"/>
                <c:pt idx="0">
                  <c:v>0</c:v>
                </c:pt>
                <c:pt idx="1">
                  <c:v>0</c:v>
                </c:pt>
                <c:pt idx="2">
                  <c:v>0</c:v>
                </c:pt>
                <c:pt idx="3">
                  <c:v>0</c:v>
                </c:pt>
                <c:pt idx="4">
                  <c:v>0</c:v>
                </c:pt>
                <c:pt idx="5">
                  <c:v>0.38461539149284363</c:v>
                </c:pt>
                <c:pt idx="6">
                  <c:v>0.76923078298568726</c:v>
                </c:pt>
                <c:pt idx="7">
                  <c:v>1</c:v>
                </c:pt>
                <c:pt idx="8">
                  <c:v>1</c:v>
                </c:pt>
                <c:pt idx="9">
                  <c:v>1</c:v>
                </c:pt>
                <c:pt idx="10">
                  <c:v>1</c:v>
                </c:pt>
                <c:pt idx="11">
                  <c:v>1</c:v>
                </c:pt>
                <c:pt idx="12">
                  <c:v>1</c:v>
                </c:pt>
                <c:pt idx="13">
                  <c:v>1</c:v>
                </c:pt>
                <c:pt idx="14">
                  <c:v>1</c:v>
                </c:pt>
                <c:pt idx="15">
                  <c:v>1</c:v>
                </c:pt>
                <c:pt idx="16">
                  <c:v>0.75</c:v>
                </c:pt>
                <c:pt idx="17">
                  <c:v>0.125</c:v>
                </c:pt>
                <c:pt idx="18">
                  <c:v>0</c:v>
                </c:pt>
                <c:pt idx="19">
                  <c:v>0</c:v>
                </c:pt>
                <c:pt idx="20">
                  <c:v>0</c:v>
                </c:pt>
              </c:numCache>
            </c:numRef>
          </c:val>
          <c:extLst>
            <c:ext xmlns:c16="http://schemas.microsoft.com/office/drawing/2014/chart" uri="{C3380CC4-5D6E-409C-BE32-E72D297353CC}">
              <c16:uniqueId val="{00000015-D2E7-41EB-82B2-BC1EC0B7F5A1}"/>
            </c:ext>
          </c:extLst>
        </c:ser>
        <c:bandFmts>
          <c:bandFmt>
            <c:idx val="0"/>
            <c:spPr>
              <a:solidFill>
                <a:schemeClr val="accent1"/>
              </a:solidFill>
              <a:ln/>
              <a:effectLst/>
              <a:sp3d/>
            </c:spPr>
          </c:bandFmt>
          <c:bandFmt>
            <c:idx val="1"/>
            <c:spPr>
              <a:solidFill>
                <a:schemeClr val="accent2"/>
              </a:solidFill>
              <a:ln/>
              <a:effectLst/>
              <a:sp3d/>
            </c:spPr>
          </c:bandFmt>
          <c:bandFmt>
            <c:idx val="2"/>
            <c:spPr>
              <a:solidFill>
                <a:schemeClr val="accent3"/>
              </a:solidFill>
              <a:ln/>
              <a:effectLst/>
              <a:sp3d/>
            </c:spPr>
          </c:bandFmt>
          <c:bandFmt>
            <c:idx val="3"/>
            <c:spPr>
              <a:solidFill>
                <a:schemeClr val="accent4"/>
              </a:solidFill>
              <a:ln/>
              <a:effectLst/>
              <a:sp3d/>
            </c:spPr>
          </c:bandFmt>
          <c:bandFmt>
            <c:idx val="4"/>
            <c:spPr>
              <a:solidFill>
                <a:schemeClr val="accent5"/>
              </a:solidFill>
              <a:ln/>
              <a:effectLst/>
              <a:sp3d/>
            </c:spPr>
          </c:bandFmt>
          <c:bandFmt>
            <c:idx val="5"/>
            <c:spPr>
              <a:solidFill>
                <a:schemeClr val="accent6"/>
              </a:solidFill>
              <a:ln/>
              <a:effectLst/>
              <a:sp3d/>
            </c:spPr>
          </c:bandFmt>
          <c:bandFmt>
            <c:idx val="6"/>
            <c:spPr>
              <a:solidFill>
                <a:schemeClr val="accent1">
                  <a:lumMod val="60000"/>
                </a:schemeClr>
              </a:solidFill>
              <a:ln/>
              <a:effectLst/>
              <a:sp3d/>
            </c:spPr>
          </c:bandFmt>
          <c:bandFmt>
            <c:idx val="7"/>
            <c:spPr>
              <a:solidFill>
                <a:schemeClr val="accent2">
                  <a:lumMod val="60000"/>
                </a:schemeClr>
              </a:solidFill>
              <a:ln/>
              <a:effectLst/>
              <a:sp3d/>
            </c:spPr>
          </c:bandFmt>
          <c:bandFmt>
            <c:idx val="8"/>
            <c:spPr>
              <a:solidFill>
                <a:schemeClr val="accent3">
                  <a:lumMod val="60000"/>
                </a:schemeClr>
              </a:solidFill>
              <a:ln/>
              <a:effectLst/>
              <a:sp3d/>
            </c:spPr>
          </c:bandFmt>
          <c:bandFmt>
            <c:idx val="9"/>
            <c:spPr>
              <a:solidFill>
                <a:schemeClr val="accent4">
                  <a:lumMod val="60000"/>
                </a:schemeClr>
              </a:solidFill>
              <a:ln/>
              <a:effectLst/>
              <a:sp3d/>
            </c:spPr>
          </c:bandFmt>
          <c:bandFmt>
            <c:idx val="10"/>
            <c:spPr>
              <a:solidFill>
                <a:schemeClr val="accent5">
                  <a:lumMod val="60000"/>
                </a:schemeClr>
              </a:solidFill>
              <a:ln/>
              <a:effectLst/>
              <a:sp3d/>
            </c:spPr>
          </c:bandFmt>
          <c:bandFmt>
            <c:idx val="11"/>
            <c:spPr>
              <a:solidFill>
                <a:schemeClr val="accent6">
                  <a:lumMod val="60000"/>
                </a:schemeClr>
              </a:solidFill>
              <a:ln/>
              <a:effectLst/>
              <a:sp3d/>
            </c:spPr>
          </c:bandFmt>
          <c:bandFmt>
            <c:idx val="12"/>
            <c:spPr>
              <a:solidFill>
                <a:schemeClr val="accent1">
                  <a:lumMod val="80000"/>
                  <a:lumOff val="20000"/>
                </a:schemeClr>
              </a:solidFill>
              <a:ln/>
              <a:effectLst/>
              <a:sp3d/>
            </c:spPr>
          </c:bandFmt>
          <c:bandFmt>
            <c:idx val="13"/>
            <c:spPr>
              <a:solidFill>
                <a:schemeClr val="accent2">
                  <a:lumMod val="80000"/>
                  <a:lumOff val="20000"/>
                </a:schemeClr>
              </a:solidFill>
              <a:ln/>
              <a:effectLst/>
              <a:sp3d/>
            </c:spPr>
          </c:bandFmt>
          <c:bandFmt>
            <c:idx val="14"/>
            <c:spPr>
              <a:solidFill>
                <a:schemeClr val="accent3">
                  <a:lumMod val="80000"/>
                  <a:lumOff val="20000"/>
                </a:schemeClr>
              </a:solidFill>
              <a:ln/>
              <a:effectLst/>
              <a:sp3d/>
            </c:spPr>
          </c:bandFmt>
        </c:bandFmts>
        <c:axId val="621944576"/>
        <c:axId val="619106720"/>
        <c:axId val="627743184"/>
      </c:surface3DChart>
      <c:catAx>
        <c:axId val="62194457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Temperature</a:t>
                </a:r>
                <a:endParaRPr lang="cs-CZ"/>
              </a:p>
            </c:rich>
          </c:tx>
          <c:layout>
            <c:manualLayout>
              <c:xMode val="edge"/>
              <c:yMode val="edge"/>
              <c:x val="0.35277465316835394"/>
              <c:y val="0.91392922770466822"/>
            </c:manualLayout>
          </c:layout>
          <c:overlay val="0"/>
          <c:spPr>
            <a:noFill/>
            <a:ln>
              <a:noFill/>
            </a:ln>
            <a:effectLst/>
          </c:sp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619106720"/>
        <c:crosses val="autoZero"/>
        <c:auto val="1"/>
        <c:lblAlgn val="ctr"/>
        <c:lblOffset val="100"/>
        <c:noMultiLvlLbl val="0"/>
      </c:catAx>
      <c:valAx>
        <c:axId val="61910672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Current</a:t>
                </a:r>
                <a:endParaRPr lang="cs-CZ"/>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621944576"/>
        <c:crosses val="autoZero"/>
        <c:crossBetween val="midCat"/>
      </c:valAx>
      <c:serAx>
        <c:axId val="627743184"/>
        <c:scaling>
          <c:orientation val="minMax"/>
        </c:scaling>
        <c:delete val="0"/>
        <c:axPos val="b"/>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Battery Charge</a:t>
                </a:r>
                <a:endParaRPr lang="cs-CZ"/>
              </a:p>
            </c:rich>
          </c:tx>
          <c:layout>
            <c:manualLayout>
              <c:xMode val="edge"/>
              <c:yMode val="edge"/>
              <c:x val="0.91418841805358275"/>
              <c:y val="0.75178731983761549"/>
            </c:manualLayout>
          </c:layout>
          <c:overlay val="0"/>
          <c:spPr>
            <a:noFill/>
            <a:ln>
              <a:noFill/>
            </a:ln>
            <a:effectLst/>
          </c:spPr>
        </c:title>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619106720"/>
        <c:crosses val="autoZero"/>
      </c:ser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99060</xdr:colOff>
      <xdr:row>25</xdr:row>
      <xdr:rowOff>38100</xdr:rowOff>
    </xdr:from>
    <xdr:to>
      <xdr:col>25</xdr:col>
      <xdr:colOff>38100</xdr:colOff>
      <xdr:row>34</xdr:row>
      <xdr:rowOff>30480</xdr:rowOff>
    </xdr:to>
    <xdr:graphicFrame macro="">
      <xdr:nvGraphicFramePr>
        <xdr:cNvPr id="2" name="Chart 1">
          <a:extLst>
            <a:ext uri="{FF2B5EF4-FFF2-40B4-BE49-F238E27FC236}">
              <a16:creationId xmlns:a16="http://schemas.microsoft.com/office/drawing/2014/main" id="{D6139D8C-EC94-4CF2-95FD-D0D57ECFDD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106680</xdr:colOff>
      <xdr:row>34</xdr:row>
      <xdr:rowOff>91440</xdr:rowOff>
    </xdr:from>
    <xdr:to>
      <xdr:col>25</xdr:col>
      <xdr:colOff>22860</xdr:colOff>
      <xdr:row>44</xdr:row>
      <xdr:rowOff>0</xdr:rowOff>
    </xdr:to>
    <xdr:graphicFrame macro="">
      <xdr:nvGraphicFramePr>
        <xdr:cNvPr id="4" name="Chart 3">
          <a:extLst>
            <a:ext uri="{FF2B5EF4-FFF2-40B4-BE49-F238E27FC236}">
              <a16:creationId xmlns:a16="http://schemas.microsoft.com/office/drawing/2014/main" id="{1DD7844A-659C-47E9-8305-B51963CE67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190500</xdr:colOff>
      <xdr:row>2</xdr:row>
      <xdr:rowOff>60960</xdr:rowOff>
    </xdr:from>
    <xdr:to>
      <xdr:col>44</xdr:col>
      <xdr:colOff>160020</xdr:colOff>
      <xdr:row>42</xdr:row>
      <xdr:rowOff>99060</xdr:rowOff>
    </xdr:to>
    <xdr:graphicFrame macro="">
      <xdr:nvGraphicFramePr>
        <xdr:cNvPr id="5" name="Chart 4">
          <a:extLst>
            <a:ext uri="{FF2B5EF4-FFF2-40B4-BE49-F238E27FC236}">
              <a16:creationId xmlns:a16="http://schemas.microsoft.com/office/drawing/2014/main" id="{9F5CA608-D359-4BE0-BF6C-92184FA341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id="3" name="Project14" displayName="Project14" ref="B7:F165" totalsRowShown="0">
  <tableColumns count="5">
    <tableColumn id="1" name="% done" dataDxfId="11" dataCellStyle="Percent"/>
    <tableColumn id="2" name="Level" dataCellStyle="Normal"/>
    <tableColumn id="6" name="Enviroment" dataDxfId="10"/>
    <tableColumn id="3" name="Modification" dataCellStyle="Date"/>
    <tableColumn id="4" name="Notes" dataDxfId="9"/>
  </tableColumns>
  <tableStyleInfo name="To-do list for projects" showFirstColumn="0" showLastColumn="0" showRowStripes="1" showColumnStripes="0"/>
  <extLst>
    <ext xmlns:x14="http://schemas.microsoft.com/office/spreadsheetml/2009/9/main" uri="{504A1905-F514-4f6f-8877-14C23A59335A}">
      <x14:table altTextSummary="Enter Percent done, project Phase, Due By date, and Notes for Project 1 in this table"/>
    </ext>
  </extLst>
</table>
</file>

<file path=xl/tables/table2.xml><?xml version="1.0" encoding="utf-8"?>
<table xmlns="http://schemas.openxmlformats.org/spreadsheetml/2006/main" id="1" name="Project1" displayName="Project1" ref="B7:H165" totalsRowShown="0">
  <tableColumns count="7">
    <tableColumn id="1" name="% done" dataDxfId="8" dataCellStyle="Percent"/>
    <tableColumn id="2" name="Controller" dataCellStyle="Normal"/>
    <tableColumn id="6" name="Enviroment" dataDxfId="7"/>
    <tableColumn id="5" name="Files" dataDxfId="6"/>
    <tableColumn id="7" name="Position" dataDxfId="5"/>
    <tableColumn id="3" name="Modification" dataCellStyle="Date"/>
    <tableColumn id="4" name="Notes" dataDxfId="4"/>
  </tableColumns>
  <tableStyleInfo name="To-do list for projects" showFirstColumn="0" showLastColumn="0" showRowStripes="1" showColumnStripes="0"/>
  <extLst>
    <ext xmlns:x14="http://schemas.microsoft.com/office/spreadsheetml/2009/9/main" uri="{504A1905-F514-4f6f-8877-14C23A59335A}">
      <x14:table altTextSummary="Enter Percent done, project Phase, Due By date, and Notes for Project 1 in this table"/>
    </ext>
  </extLst>
</table>
</file>

<file path=xl/tables/table3.xml><?xml version="1.0" encoding="utf-8"?>
<table xmlns="http://schemas.openxmlformats.org/spreadsheetml/2006/main" id="2" name="Project13" displayName="Project13" ref="B7:F164" totalsRowShown="0">
  <tableColumns count="5">
    <tableColumn id="1" name="% done" dataCellStyle="Percent"/>
    <tableColumn id="2" name="Device" dataCellStyle="Normal"/>
    <tableColumn id="6" name="Part" dataDxfId="3"/>
    <tableColumn id="3" name="Modification" dataCellStyle="Date"/>
    <tableColumn id="4" name="Notes" dataDxfId="2"/>
  </tableColumns>
  <tableStyleInfo name="To-do list for projects" showFirstColumn="0" showLastColumn="0" showRowStripes="1" showColumnStripes="0"/>
  <extLst>
    <ext xmlns:x14="http://schemas.microsoft.com/office/spreadsheetml/2009/9/main" uri="{504A1905-F514-4f6f-8877-14C23A59335A}">
      <x14:table altTextSummary="Enter Percent done, project Phase, Due By date, and Notes for Project 1 in this table"/>
    </ext>
  </extLst>
</table>
</file>

<file path=xl/tables/table4.xml><?xml version="1.0" encoding="utf-8"?>
<table xmlns="http://schemas.openxmlformats.org/spreadsheetml/2006/main" id="4" name="Project15" displayName="Project15" ref="B7:E165" totalsRowShown="0">
  <tableColumns count="4">
    <tableColumn id="1" name="Date" dataDxfId="1" dataCellStyle="Percent"/>
    <tableColumn id="2" name="Version" dataCellStyle="Normal"/>
    <tableColumn id="6" name="Build" dataDxfId="0"/>
    <tableColumn id="3" name="Description" dataCellStyle="Date"/>
  </tableColumns>
  <tableStyleInfo name="To-do list for projects" showFirstColumn="0" showLastColumn="0" showRowStripes="1" showColumnStripes="0"/>
  <extLst>
    <ext xmlns:x14="http://schemas.microsoft.com/office/spreadsheetml/2009/9/main" uri="{504A1905-F514-4f6f-8877-14C23A59335A}">
      <x14:table altTextSummary="Enter Percent done, project Phase, Due By date, and Notes for Project 1 in this table"/>
    </ext>
  </extLst>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Equity">
  <a:themeElements>
    <a:clrScheme name="Equity">
      <a:dk1>
        <a:sysClr val="windowText" lastClr="000000"/>
      </a:dk1>
      <a:lt1>
        <a:sysClr val="window" lastClr="FFFFFF"/>
      </a:lt1>
      <a:dk2>
        <a:srgbClr val="696464"/>
      </a:dk2>
      <a:lt2>
        <a:srgbClr val="E9E5DC"/>
      </a:lt2>
      <a:accent1>
        <a:srgbClr val="D34817"/>
      </a:accent1>
      <a:accent2>
        <a:srgbClr val="9B2D1F"/>
      </a:accent2>
      <a:accent3>
        <a:srgbClr val="918485"/>
      </a:accent3>
      <a:accent4>
        <a:srgbClr val="956251"/>
      </a:accent4>
      <a:accent5>
        <a:srgbClr val="855D5D"/>
      </a:accent5>
      <a:accent6>
        <a:srgbClr val="A28E6A"/>
      </a:accent6>
      <a:hlink>
        <a:srgbClr val="CC9900"/>
      </a:hlink>
      <a:folHlink>
        <a:srgbClr val="96A9A9"/>
      </a:folHlink>
    </a:clrScheme>
    <a:fontScheme name="Equity">
      <a:majorFont>
        <a:latin typeface="Franklin Gothic Book"/>
        <a:ea typeface=""/>
        <a:cs typeface=""/>
        <a:font script="Jpan" typeface="HGｺﾞｼｯｸM"/>
        <a:font script="Hang" typeface="바탕"/>
        <a:font script="Hans" typeface="黑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majorFont>
      <a:minorFont>
        <a:latin typeface="Perpetua"/>
        <a:ea typeface=""/>
        <a:cs typeface=""/>
        <a:font script="Jpan" typeface="HG創英ﾌﾟﾚｾﾞﾝｽEB"/>
        <a:font script="Hang" typeface="맑은 고딕"/>
        <a:font script="Hans" typeface="仿宋_GB2312"/>
        <a:font script="Hant" typeface="新細明體"/>
        <a:font script="Arab" typeface="Times New Roman"/>
        <a:font script="Hebr" typeface="Aharoni"/>
        <a:font script="Thai" typeface="Eucrosia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inorFont>
    </a:fontScheme>
    <a:fmtScheme name="Equity">
      <a:fillStyleLst>
        <a:solidFill>
          <a:schemeClr val="phClr"/>
        </a:solidFill>
        <a:blipFill>
          <a:blip xmlns:r="http://schemas.openxmlformats.org/officeDocument/2006/relationships" r:embed="rId1">
            <a:duotone>
              <a:schemeClr val="phClr">
                <a:tint val="20000"/>
                <a:satMod val="300000"/>
              </a:schemeClr>
              <a:schemeClr val="phClr">
                <a:tint val="35000"/>
                <a:satMod val="200000"/>
              </a:schemeClr>
            </a:duotone>
          </a:blip>
          <a:tile tx="0" ty="0" sx="75000" sy="75000" flip="none" algn="ctr"/>
        </a:blipFill>
        <a:blipFill>
          <a:blip xmlns:r="http://schemas.openxmlformats.org/officeDocument/2006/relationships" r:embed="rId1">
            <a:duotone>
              <a:schemeClr val="phClr">
                <a:tint val="20000"/>
                <a:satMod val="180000"/>
              </a:schemeClr>
              <a:schemeClr val="phClr">
                <a:tint val="45000"/>
                <a:satMod val="100000"/>
              </a:schemeClr>
            </a:duotone>
          </a:blip>
          <a:tile tx="0" ty="0" sx="75000" sy="75000" flip="none" algn="ctr"/>
        </a:blipFill>
      </a:fillStyleLst>
      <a:lnStyleLst>
        <a:ln w="9000" cap="flat" cmpd="sng" algn="ctr">
          <a:solidFill>
            <a:schemeClr val="phClr">
              <a:shade val="60000"/>
              <a:satMod val="110000"/>
            </a:schemeClr>
          </a:solidFill>
          <a:prstDash val="solid"/>
        </a:ln>
        <a:ln w="12700" cap="flat" cmpd="sng" algn="ctr">
          <a:solidFill>
            <a:schemeClr val="phClr"/>
          </a:solidFill>
          <a:prstDash val="solid"/>
        </a:ln>
        <a:ln w="38100" cap="flat" cmpd="sng" algn="ctr">
          <a:solidFill>
            <a:schemeClr val="phClr"/>
          </a:solidFill>
          <a:prstDash val="solid"/>
        </a:ln>
      </a:lnStyleLst>
      <a:effectStyleLst>
        <a:effectStyle>
          <a:effectLst>
            <a:fillOverlay blend="mult">
              <a:gradFill rotWithShape="1">
                <a:gsLst>
                  <a:gs pos="0">
                    <a:schemeClr val="phClr">
                      <a:tint val="73000"/>
                      <a:shade val="85000"/>
                      <a:satMod val="108000"/>
                    </a:schemeClr>
                  </a:gs>
                  <a:gs pos="60000">
                    <a:schemeClr val="phClr">
                      <a:tint val="33000"/>
                      <a:satMod val="135000"/>
                    </a:schemeClr>
                  </a:gs>
                  <a:gs pos="100000">
                    <a:schemeClr val="phClr">
                      <a:tint val="20000"/>
                      <a:satMod val="135000"/>
                    </a:schemeClr>
                  </a:gs>
                </a:gsLst>
                <a:lin ang="16200000" scaled="0"/>
              </a:gradFill>
            </a:fillOverlay>
            <a:outerShdw blurRad="38100" dist="25400" dir="5400000" algn="t" rotWithShape="0">
              <a:srgbClr val="000000">
                <a:alpha val="50000"/>
              </a:srgbClr>
            </a:outerShdw>
          </a:effectLst>
        </a:effectStyle>
        <a:effectStyle>
          <a:effectLst>
            <a:fillOverlay blend="mult">
              <a:gradFill rotWithShape="1">
                <a:gsLst>
                  <a:gs pos="0">
                    <a:schemeClr val="phClr">
                      <a:shade val="10000"/>
                      <a:satMod val="150000"/>
                    </a:schemeClr>
                  </a:gs>
                  <a:gs pos="60000">
                    <a:schemeClr val="phClr">
                      <a:shade val="45000"/>
                      <a:satMod val="140000"/>
                    </a:schemeClr>
                  </a:gs>
                  <a:gs pos="100000">
                    <a:schemeClr val="phClr">
                      <a:shade val="95000"/>
                      <a:satMod val="140000"/>
                    </a:schemeClr>
                  </a:gs>
                </a:gsLst>
                <a:lin ang="16200000" scaled="0"/>
              </a:gradFill>
            </a:fillOverlay>
            <a:outerShdw blurRad="38100" dist="25400" dir="5400000" algn="t" rotWithShape="0">
              <a:srgbClr val="000000">
                <a:alpha val="50000"/>
              </a:srgbClr>
            </a:outerShdw>
          </a:effectLst>
        </a:effectStyle>
        <a:effectStyle>
          <a:effectLst>
            <a:fillOverlay blend="mult">
              <a:gradFill rotWithShape="1">
                <a:gsLst>
                  <a:gs pos="0">
                    <a:schemeClr val="phClr">
                      <a:shade val="10000"/>
                      <a:satMod val="150000"/>
                    </a:schemeClr>
                  </a:gs>
                  <a:gs pos="60000">
                    <a:schemeClr val="phClr">
                      <a:shade val="45000"/>
                      <a:satMod val="140000"/>
                    </a:schemeClr>
                  </a:gs>
                  <a:gs pos="100000">
                    <a:schemeClr val="phClr">
                      <a:shade val="95000"/>
                      <a:satMod val="140000"/>
                    </a:schemeClr>
                  </a:gs>
                </a:gsLst>
                <a:lin ang="16200000" scaled="0"/>
              </a:gradFill>
            </a:fillOverlay>
            <a:outerShdw blurRad="50800" dist="50800" dir="5400000" algn="t" rotWithShape="0">
              <a:srgbClr val="000000">
                <a:alpha val="60000"/>
              </a:srgbClr>
            </a:outerShdw>
          </a:effectLst>
          <a:scene3d>
            <a:camera prst="isometricBottomUp" fov="0">
              <a:rot lat="0" lon="0" rev="0"/>
            </a:camera>
            <a:lightRig rig="soft" dir="b">
              <a:rot lat="0" lon="0" rev="9000000"/>
            </a:lightRig>
          </a:scene3d>
          <a:sp3d contourW="35000" prstMaterial="matte">
            <a:bevelT w="45000" h="38100" prst="convex"/>
            <a:contourClr>
              <a:schemeClr val="phClr">
                <a:tint val="10000"/>
                <a:satMod val="130000"/>
              </a:schemeClr>
            </a:contourClr>
          </a:sp3d>
        </a:effectStyle>
      </a:effectStyleLst>
      <a:bgFillStyleLst>
        <a:solidFill>
          <a:schemeClr val="phClr"/>
        </a:solidFill>
        <a:gradFill rotWithShape="1">
          <a:gsLst>
            <a:gs pos="0">
              <a:schemeClr val="phClr">
                <a:shade val="40000"/>
                <a:satMod val="165000"/>
              </a:schemeClr>
            </a:gs>
            <a:gs pos="50000">
              <a:schemeClr val="phClr">
                <a:shade val="80000"/>
                <a:satMod val="155000"/>
              </a:schemeClr>
            </a:gs>
            <a:gs pos="100000">
              <a:schemeClr val="phClr">
                <a:tint val="95000"/>
                <a:satMod val="200000"/>
              </a:schemeClr>
            </a:gs>
          </a:gsLst>
          <a:lin ang="16200000" scaled="1"/>
        </a:gradFill>
        <a:blipFill>
          <a:blip xmlns:r="http://schemas.openxmlformats.org/officeDocument/2006/relationships" r:embed="rId1">
            <a:duotone>
              <a:schemeClr val="phClr">
                <a:tint val="95000"/>
                <a:satMod val="200000"/>
              </a:schemeClr>
              <a:schemeClr val="phClr">
                <a:shade val="80000"/>
                <a:satMod val="100000"/>
              </a:schemeClr>
            </a:duotone>
          </a:blip>
          <a:tile tx="0" ty="0" sx="75000" sy="75000" flip="none" algn="t"/>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79998168889431442"/>
    <pageSetUpPr fitToPage="1"/>
  </sheetPr>
  <dimension ref="B1:F165"/>
  <sheetViews>
    <sheetView showGridLines="0" tabSelected="1" zoomScaleNormal="100" workbookViewId="0">
      <selection activeCell="A14" sqref="A14"/>
    </sheetView>
  </sheetViews>
  <sheetFormatPr defaultColWidth="9.125" defaultRowHeight="30" customHeight="1" x14ac:dyDescent="0.35"/>
  <cols>
    <col min="1" max="1" width="2.75" customWidth="1"/>
    <col min="2" max="2" width="9.875" customWidth="1"/>
    <col min="3" max="3" width="14.125" bestFit="1" customWidth="1"/>
    <col min="4" max="4" width="15.5" bestFit="1" customWidth="1"/>
    <col min="5" max="5" width="66" customWidth="1"/>
    <col min="6" max="6" width="127.375" customWidth="1"/>
    <col min="7" max="7" width="2.75" customWidth="1"/>
  </cols>
  <sheetData>
    <row r="1" spans="2:6" s="1" customFormat="1" ht="42.75" customHeight="1" x14ac:dyDescent="0.5">
      <c r="B1" s="2" t="s">
        <v>60</v>
      </c>
      <c r="C1" s="2"/>
      <c r="D1" s="2"/>
      <c r="E1" s="2"/>
      <c r="F1" s="2"/>
    </row>
    <row r="2" spans="2:6" ht="15" customHeight="1" x14ac:dyDescent="0.35"/>
    <row r="3" spans="2:6" s="1" customFormat="1" ht="18" customHeight="1" x14ac:dyDescent="0.35">
      <c r="B3" s="40" t="s">
        <v>0</v>
      </c>
      <c r="C3" s="40"/>
      <c r="D3" s="40"/>
      <c r="E3" s="36" t="s">
        <v>61</v>
      </c>
      <c r="F3" s="36"/>
    </row>
    <row r="4" spans="2:6" s="1" customFormat="1" ht="18" customHeight="1" x14ac:dyDescent="0.35">
      <c r="B4" s="40" t="s">
        <v>1</v>
      </c>
      <c r="C4" s="40"/>
      <c r="D4" s="40"/>
      <c r="E4" s="37">
        <v>43404</v>
      </c>
      <c r="F4" s="38"/>
    </row>
    <row r="5" spans="2:6" ht="15" customHeight="1" x14ac:dyDescent="0.35"/>
    <row r="6" spans="2:6" s="1" customFormat="1" ht="30" customHeight="1" x14ac:dyDescent="0.4">
      <c r="B6" s="39"/>
      <c r="C6" s="39"/>
      <c r="D6" s="39"/>
      <c r="E6" s="39"/>
      <c r="F6" s="39"/>
    </row>
    <row r="7" spans="2:6" s="1" customFormat="1" ht="30" customHeight="1" x14ac:dyDescent="0.35">
      <c r="B7" s="3" t="s">
        <v>3</v>
      </c>
      <c r="C7" s="3" t="s">
        <v>64</v>
      </c>
      <c r="D7" s="3" t="s">
        <v>5</v>
      </c>
      <c r="E7" s="3" t="s">
        <v>4</v>
      </c>
      <c r="F7" s="4" t="s">
        <v>2</v>
      </c>
    </row>
    <row r="8" spans="2:6" s="1" customFormat="1" ht="15" x14ac:dyDescent="0.35">
      <c r="B8" s="22">
        <v>0.5</v>
      </c>
      <c r="C8" s="17" t="s">
        <v>65</v>
      </c>
      <c r="D8" s="17" t="s">
        <v>50</v>
      </c>
      <c r="E8" s="17" t="s">
        <v>67</v>
      </c>
      <c r="F8" s="19"/>
    </row>
    <row r="9" spans="2:6" s="1" customFormat="1" ht="15" x14ac:dyDescent="0.35">
      <c r="B9" s="22">
        <v>0</v>
      </c>
      <c r="C9" s="17" t="s">
        <v>65</v>
      </c>
      <c r="D9" s="17" t="s">
        <v>50</v>
      </c>
      <c r="E9" s="17" t="s">
        <v>68</v>
      </c>
      <c r="F9" s="24"/>
    </row>
    <row r="10" spans="2:6" s="1" customFormat="1" ht="15" x14ac:dyDescent="0.35">
      <c r="B10" s="22">
        <v>0</v>
      </c>
      <c r="C10" s="17" t="s">
        <v>65</v>
      </c>
      <c r="D10" s="17" t="s">
        <v>50</v>
      </c>
      <c r="E10" s="17" t="s">
        <v>69</v>
      </c>
      <c r="F10" s="19" t="s">
        <v>75</v>
      </c>
    </row>
    <row r="11" spans="2:6" s="1" customFormat="1" ht="15" x14ac:dyDescent="0.35">
      <c r="B11" s="22">
        <v>0</v>
      </c>
      <c r="C11" s="17" t="s">
        <v>70</v>
      </c>
      <c r="D11" s="17" t="s">
        <v>50</v>
      </c>
      <c r="E11" s="17" t="s">
        <v>71</v>
      </c>
      <c r="F11" s="19"/>
    </row>
    <row r="12" spans="2:6" s="1" customFormat="1" ht="15" x14ac:dyDescent="0.35">
      <c r="B12" s="22">
        <v>0</v>
      </c>
      <c r="C12" s="17" t="s">
        <v>65</v>
      </c>
      <c r="D12" s="17" t="s">
        <v>50</v>
      </c>
      <c r="E12" s="17" t="s">
        <v>74</v>
      </c>
      <c r="F12" s="19" t="s">
        <v>76</v>
      </c>
    </row>
    <row r="13" spans="2:6" s="1" customFormat="1" ht="15" x14ac:dyDescent="0.35">
      <c r="B13" s="22">
        <v>0</v>
      </c>
      <c r="C13" s="17" t="s">
        <v>65</v>
      </c>
      <c r="D13" s="17" t="s">
        <v>50</v>
      </c>
      <c r="E13" s="17" t="s">
        <v>86</v>
      </c>
      <c r="F13" s="19"/>
    </row>
    <row r="14" spans="2:6" s="1" customFormat="1" ht="15" x14ac:dyDescent="0.35">
      <c r="B14" s="22">
        <v>0</v>
      </c>
      <c r="C14" s="17" t="s">
        <v>66</v>
      </c>
      <c r="D14" s="17" t="s">
        <v>50</v>
      </c>
      <c r="E14" s="17" t="s">
        <v>94</v>
      </c>
      <c r="F14" s="19" t="s">
        <v>95</v>
      </c>
    </row>
    <row r="15" spans="2:6" s="1" customFormat="1" ht="15" x14ac:dyDescent="0.35">
      <c r="B15" s="22">
        <v>0</v>
      </c>
      <c r="C15" s="17"/>
      <c r="D15" s="17"/>
      <c r="E15" s="17"/>
      <c r="F15" s="20"/>
    </row>
    <row r="16" spans="2:6" s="1" customFormat="1" ht="15" x14ac:dyDescent="0.35">
      <c r="B16" s="22">
        <v>0</v>
      </c>
      <c r="C16" s="17"/>
      <c r="D16" s="17"/>
      <c r="E16" s="17"/>
      <c r="F16" s="21"/>
    </row>
    <row r="17" spans="2:6" ht="15" x14ac:dyDescent="0.35">
      <c r="B17" s="22">
        <v>0</v>
      </c>
      <c r="C17" s="17"/>
      <c r="D17" s="17"/>
      <c r="E17" s="16"/>
      <c r="F17" s="21"/>
    </row>
    <row r="18" spans="2:6" ht="15" x14ac:dyDescent="0.35">
      <c r="B18" s="22">
        <v>0</v>
      </c>
      <c r="C18" s="17"/>
      <c r="D18" s="17"/>
      <c r="E18" s="16"/>
      <c r="F18" s="25"/>
    </row>
    <row r="19" spans="2:6" ht="15" x14ac:dyDescent="0.35">
      <c r="B19" s="22">
        <v>0</v>
      </c>
      <c r="C19" s="17"/>
      <c r="D19" s="17"/>
      <c r="E19" s="17"/>
      <c r="F19" s="19"/>
    </row>
    <row r="20" spans="2:6" ht="15" x14ac:dyDescent="0.35">
      <c r="B20" s="22">
        <v>0</v>
      </c>
      <c r="C20" s="17"/>
      <c r="D20" s="17"/>
      <c r="E20" s="17"/>
      <c r="F20" s="19"/>
    </row>
    <row r="21" spans="2:6" ht="15" x14ac:dyDescent="0.35">
      <c r="B21" s="22">
        <v>0</v>
      </c>
      <c r="C21" s="17"/>
      <c r="D21" s="17"/>
      <c r="E21" s="18"/>
      <c r="F21" s="19"/>
    </row>
    <row r="22" spans="2:6" ht="15" x14ac:dyDescent="0.35">
      <c r="B22" s="22">
        <v>0</v>
      </c>
      <c r="C22" s="17"/>
      <c r="D22" s="17"/>
      <c r="E22" s="18"/>
      <c r="F22" s="19"/>
    </row>
    <row r="23" spans="2:6" ht="15" x14ac:dyDescent="0.35">
      <c r="B23" s="22">
        <v>0</v>
      </c>
      <c r="C23" s="17"/>
      <c r="D23" s="17"/>
      <c r="E23" s="17"/>
      <c r="F23" s="19"/>
    </row>
    <row r="24" spans="2:6" ht="15" x14ac:dyDescent="0.35">
      <c r="B24" s="22">
        <v>0</v>
      </c>
      <c r="C24" s="17"/>
      <c r="D24" s="17"/>
      <c r="E24" s="17"/>
      <c r="F24" s="19"/>
    </row>
    <row r="25" spans="2:6" ht="15" x14ac:dyDescent="0.35">
      <c r="B25" s="22">
        <v>0</v>
      </c>
      <c r="C25" s="17"/>
      <c r="D25" s="17"/>
      <c r="E25" s="17"/>
      <c r="F25" s="19"/>
    </row>
    <row r="26" spans="2:6" ht="15" x14ac:dyDescent="0.35">
      <c r="B26" s="22">
        <v>0</v>
      </c>
      <c r="C26" s="17"/>
      <c r="D26" s="17"/>
      <c r="E26" s="17"/>
      <c r="F26" s="19"/>
    </row>
    <row r="27" spans="2:6" ht="15" x14ac:dyDescent="0.35">
      <c r="B27" s="22">
        <v>0</v>
      </c>
      <c r="C27" s="17"/>
      <c r="D27" s="17"/>
      <c r="E27" s="17"/>
      <c r="F27" s="19"/>
    </row>
    <row r="28" spans="2:6" ht="15" x14ac:dyDescent="0.35">
      <c r="B28" s="22">
        <v>0</v>
      </c>
      <c r="C28" s="17"/>
      <c r="D28" s="17"/>
      <c r="E28" s="18"/>
      <c r="F28" s="19"/>
    </row>
    <row r="29" spans="2:6" ht="15" x14ac:dyDescent="0.35">
      <c r="B29" s="22">
        <v>0</v>
      </c>
      <c r="C29" s="17"/>
      <c r="D29" s="17"/>
      <c r="E29" s="18"/>
      <c r="F29" s="19"/>
    </row>
    <row r="30" spans="2:6" ht="15" x14ac:dyDescent="0.35">
      <c r="B30" s="22">
        <v>0</v>
      </c>
      <c r="C30" s="17"/>
      <c r="D30" s="17"/>
      <c r="E30" s="17"/>
      <c r="F30" s="19"/>
    </row>
    <row r="31" spans="2:6" ht="15" x14ac:dyDescent="0.35">
      <c r="B31" s="22">
        <v>0</v>
      </c>
      <c r="C31" s="17"/>
      <c r="D31" s="17"/>
      <c r="E31" s="17"/>
      <c r="F31" s="19"/>
    </row>
    <row r="32" spans="2:6" ht="15" x14ac:dyDescent="0.35">
      <c r="B32" s="22">
        <v>0</v>
      </c>
      <c r="C32" s="17"/>
      <c r="D32" s="17"/>
      <c r="E32" s="17"/>
      <c r="F32" s="19"/>
    </row>
    <row r="33" spans="2:6" ht="15" x14ac:dyDescent="0.35">
      <c r="B33" s="22">
        <v>0</v>
      </c>
      <c r="C33" s="17"/>
      <c r="D33" s="17"/>
      <c r="E33" s="17"/>
      <c r="F33" s="19"/>
    </row>
    <row r="34" spans="2:6" ht="15" x14ac:dyDescent="0.35">
      <c r="B34" s="22">
        <v>0</v>
      </c>
      <c r="C34" s="17"/>
      <c r="D34" s="17"/>
      <c r="E34" s="17"/>
      <c r="F34" s="19"/>
    </row>
    <row r="35" spans="2:6" ht="15" x14ac:dyDescent="0.35">
      <c r="B35" s="22">
        <v>0</v>
      </c>
      <c r="C35" s="17"/>
      <c r="D35" s="17"/>
      <c r="E35" s="17"/>
      <c r="F35" s="19"/>
    </row>
    <row r="36" spans="2:6" ht="15" customHeight="1" x14ac:dyDescent="0.35">
      <c r="B36" s="22">
        <v>0</v>
      </c>
      <c r="C36" s="17"/>
      <c r="D36" s="17"/>
      <c r="E36" s="17"/>
      <c r="F36" s="19"/>
    </row>
    <row r="37" spans="2:6" ht="15" customHeight="1" x14ac:dyDescent="0.35">
      <c r="B37" s="22">
        <v>0</v>
      </c>
      <c r="C37" s="17"/>
      <c r="D37" s="17"/>
      <c r="E37" s="17"/>
      <c r="F37" s="19"/>
    </row>
    <row r="38" spans="2:6" ht="15" customHeight="1" x14ac:dyDescent="0.35">
      <c r="B38" s="22">
        <v>0</v>
      </c>
      <c r="C38" s="17"/>
      <c r="D38" s="17"/>
      <c r="E38" s="18"/>
      <c r="F38" s="19"/>
    </row>
    <row r="39" spans="2:6" ht="15" customHeight="1" x14ac:dyDescent="0.35">
      <c r="B39" s="22">
        <v>0</v>
      </c>
      <c r="C39" s="17"/>
      <c r="D39" s="17"/>
      <c r="E39" s="18"/>
      <c r="F39" s="19"/>
    </row>
    <row r="40" spans="2:6" ht="15" customHeight="1" x14ac:dyDescent="0.35">
      <c r="B40" s="22">
        <v>0</v>
      </c>
      <c r="C40" s="17"/>
      <c r="D40" s="17"/>
      <c r="E40" s="18"/>
      <c r="F40" s="19"/>
    </row>
    <row r="41" spans="2:6" ht="15" customHeight="1" x14ac:dyDescent="0.35">
      <c r="B41" s="22">
        <v>0</v>
      </c>
      <c r="C41" s="17"/>
      <c r="D41" s="17"/>
      <c r="E41" s="18"/>
      <c r="F41" s="19"/>
    </row>
    <row r="42" spans="2:6" ht="15" customHeight="1" x14ac:dyDescent="0.35">
      <c r="B42" s="22">
        <v>0</v>
      </c>
      <c r="C42" s="17"/>
      <c r="D42" s="17"/>
      <c r="E42" s="18"/>
      <c r="F42" s="19"/>
    </row>
    <row r="43" spans="2:6" ht="15" customHeight="1" x14ac:dyDescent="0.35">
      <c r="B43" s="22">
        <v>0</v>
      </c>
      <c r="C43" s="17"/>
      <c r="D43" s="17"/>
      <c r="E43" s="18"/>
      <c r="F43" s="19"/>
    </row>
    <row r="44" spans="2:6" ht="15" customHeight="1" x14ac:dyDescent="0.35">
      <c r="B44" s="22">
        <v>0</v>
      </c>
      <c r="C44" s="17"/>
      <c r="D44" s="17"/>
      <c r="E44" s="18"/>
      <c r="F44" s="19"/>
    </row>
    <row r="45" spans="2:6" ht="15" customHeight="1" x14ac:dyDescent="0.35">
      <c r="B45" s="22">
        <v>0</v>
      </c>
      <c r="C45" s="17"/>
      <c r="D45" s="17"/>
      <c r="E45" s="18"/>
      <c r="F45" s="19"/>
    </row>
    <row r="46" spans="2:6" ht="15" customHeight="1" x14ac:dyDescent="0.35">
      <c r="B46" s="22">
        <v>0</v>
      </c>
      <c r="C46" s="17"/>
      <c r="D46" s="17"/>
      <c r="E46" s="18"/>
      <c r="F46" s="19"/>
    </row>
    <row r="47" spans="2:6" ht="15" customHeight="1" x14ac:dyDescent="0.35">
      <c r="B47" s="22">
        <v>0</v>
      </c>
      <c r="C47" s="17"/>
      <c r="D47" s="17"/>
      <c r="E47" s="18"/>
      <c r="F47" s="19"/>
    </row>
    <row r="48" spans="2:6" ht="15" customHeight="1" x14ac:dyDescent="0.35">
      <c r="B48" s="22">
        <v>0</v>
      </c>
      <c r="C48" s="17"/>
      <c r="D48" s="17"/>
      <c r="E48" s="18"/>
      <c r="F48" s="19"/>
    </row>
    <row r="49" spans="2:6" ht="15" customHeight="1" x14ac:dyDescent="0.35">
      <c r="B49" s="22">
        <v>0</v>
      </c>
      <c r="C49" s="17"/>
      <c r="D49" s="17"/>
      <c r="E49" s="18"/>
      <c r="F49" s="19"/>
    </row>
    <row r="50" spans="2:6" ht="15" customHeight="1" x14ac:dyDescent="0.35">
      <c r="B50" s="22">
        <v>0</v>
      </c>
      <c r="C50" s="17"/>
      <c r="D50" s="17"/>
      <c r="E50" s="18"/>
      <c r="F50" s="19"/>
    </row>
    <row r="51" spans="2:6" ht="15" customHeight="1" x14ac:dyDescent="0.35">
      <c r="B51" s="22">
        <v>0</v>
      </c>
      <c r="C51" s="17"/>
      <c r="D51" s="17"/>
      <c r="E51" s="18"/>
      <c r="F51" s="19"/>
    </row>
    <row r="52" spans="2:6" ht="15" customHeight="1" x14ac:dyDescent="0.35">
      <c r="B52" s="22">
        <v>0</v>
      </c>
      <c r="C52" s="17"/>
      <c r="D52" s="17"/>
      <c r="E52" s="18"/>
      <c r="F52" s="19"/>
    </row>
    <row r="53" spans="2:6" ht="15" customHeight="1" x14ac:dyDescent="0.35">
      <c r="B53" s="22">
        <v>0</v>
      </c>
      <c r="C53" s="17"/>
      <c r="D53" s="17"/>
      <c r="E53" s="18"/>
      <c r="F53" s="19"/>
    </row>
    <row r="54" spans="2:6" ht="15" customHeight="1" x14ac:dyDescent="0.35">
      <c r="B54" s="22">
        <v>0</v>
      </c>
      <c r="C54" s="17"/>
      <c r="D54" s="17"/>
      <c r="E54" s="18"/>
      <c r="F54" s="19"/>
    </row>
    <row r="55" spans="2:6" ht="15" customHeight="1" x14ac:dyDescent="0.35">
      <c r="B55" s="22">
        <v>0</v>
      </c>
      <c r="C55" s="17"/>
      <c r="D55" s="17"/>
      <c r="E55" s="18"/>
      <c r="F55" s="19"/>
    </row>
    <row r="56" spans="2:6" ht="15" customHeight="1" x14ac:dyDescent="0.35">
      <c r="B56" s="22">
        <v>0</v>
      </c>
      <c r="C56" s="17"/>
      <c r="D56" s="17"/>
      <c r="E56" s="18"/>
      <c r="F56" s="19"/>
    </row>
    <row r="57" spans="2:6" ht="15" customHeight="1" x14ac:dyDescent="0.35">
      <c r="B57" s="22">
        <v>0</v>
      </c>
      <c r="C57" s="17"/>
      <c r="D57" s="17"/>
      <c r="E57" s="18"/>
      <c r="F57" s="19"/>
    </row>
    <row r="58" spans="2:6" ht="15" customHeight="1" x14ac:dyDescent="0.35">
      <c r="B58" s="22">
        <v>0</v>
      </c>
      <c r="C58" s="17"/>
      <c r="D58" s="17"/>
      <c r="E58" s="18"/>
      <c r="F58" s="19"/>
    </row>
    <row r="59" spans="2:6" ht="15" customHeight="1" x14ac:dyDescent="0.35">
      <c r="B59" s="22">
        <v>0</v>
      </c>
      <c r="C59" s="17"/>
      <c r="D59" s="17"/>
      <c r="E59" s="18"/>
      <c r="F59" s="19"/>
    </row>
    <row r="60" spans="2:6" ht="15" customHeight="1" x14ac:dyDescent="0.35">
      <c r="B60" s="22">
        <v>0</v>
      </c>
      <c r="C60" s="17"/>
      <c r="D60" s="17"/>
      <c r="E60" s="18"/>
      <c r="F60" s="19"/>
    </row>
    <row r="61" spans="2:6" ht="15" customHeight="1" x14ac:dyDescent="0.35">
      <c r="B61" s="22">
        <v>0</v>
      </c>
      <c r="C61" s="17"/>
      <c r="D61" s="17"/>
      <c r="E61" s="18"/>
      <c r="F61" s="19"/>
    </row>
    <row r="62" spans="2:6" ht="15" customHeight="1" x14ac:dyDescent="0.35">
      <c r="B62" s="22">
        <v>0</v>
      </c>
      <c r="C62" s="17"/>
      <c r="D62" s="17"/>
      <c r="E62" s="18"/>
      <c r="F62" s="19"/>
    </row>
    <row r="63" spans="2:6" ht="15" customHeight="1" x14ac:dyDescent="0.35">
      <c r="B63" s="22">
        <v>0</v>
      </c>
      <c r="C63" s="17"/>
      <c r="D63" s="17"/>
      <c r="E63" s="18"/>
      <c r="F63" s="19"/>
    </row>
    <row r="64" spans="2:6" ht="15" customHeight="1" x14ac:dyDescent="0.35">
      <c r="B64" s="22">
        <v>0</v>
      </c>
      <c r="C64" s="17"/>
      <c r="D64" s="17"/>
      <c r="E64" s="18"/>
      <c r="F64" s="19"/>
    </row>
    <row r="65" spans="2:6" ht="15" customHeight="1" x14ac:dyDescent="0.35">
      <c r="B65" s="22">
        <v>0</v>
      </c>
      <c r="C65" s="17"/>
      <c r="D65" s="17"/>
      <c r="E65" s="18"/>
      <c r="F65" s="19"/>
    </row>
    <row r="66" spans="2:6" ht="15" customHeight="1" x14ac:dyDescent="0.35">
      <c r="B66" s="22">
        <v>0</v>
      </c>
      <c r="C66" s="17"/>
      <c r="D66" s="17"/>
      <c r="E66" s="18"/>
      <c r="F66" s="19"/>
    </row>
    <row r="67" spans="2:6" ht="15" customHeight="1" x14ac:dyDescent="0.35">
      <c r="B67" s="22">
        <v>0</v>
      </c>
      <c r="C67" s="17"/>
      <c r="D67" s="17"/>
      <c r="E67" s="18"/>
      <c r="F67" s="19"/>
    </row>
    <row r="68" spans="2:6" ht="15" customHeight="1" x14ac:dyDescent="0.35">
      <c r="B68" s="22">
        <v>0</v>
      </c>
      <c r="C68" s="17"/>
      <c r="D68" s="17"/>
      <c r="E68" s="18"/>
      <c r="F68" s="19"/>
    </row>
    <row r="69" spans="2:6" ht="15" customHeight="1" x14ac:dyDescent="0.35">
      <c r="B69" s="22">
        <v>0</v>
      </c>
      <c r="C69" s="17"/>
      <c r="D69" s="17"/>
      <c r="E69" s="18"/>
      <c r="F69" s="19"/>
    </row>
    <row r="70" spans="2:6" ht="15" customHeight="1" x14ac:dyDescent="0.35">
      <c r="B70" s="22">
        <v>0</v>
      </c>
      <c r="C70" s="17"/>
      <c r="D70" s="17"/>
      <c r="E70" s="18"/>
      <c r="F70" s="19"/>
    </row>
    <row r="71" spans="2:6" ht="15" customHeight="1" x14ac:dyDescent="0.35">
      <c r="B71" s="22">
        <v>0</v>
      </c>
      <c r="C71" s="17"/>
      <c r="D71" s="17"/>
      <c r="E71" s="18"/>
      <c r="F71" s="19"/>
    </row>
    <row r="72" spans="2:6" ht="15" customHeight="1" x14ac:dyDescent="0.35">
      <c r="B72" s="22">
        <v>0</v>
      </c>
      <c r="C72" s="17"/>
      <c r="D72" s="17"/>
      <c r="E72" s="18"/>
      <c r="F72" s="19"/>
    </row>
    <row r="73" spans="2:6" ht="15" customHeight="1" x14ac:dyDescent="0.35">
      <c r="B73" s="22">
        <v>0</v>
      </c>
      <c r="C73" s="17"/>
      <c r="D73" s="17"/>
      <c r="E73" s="18"/>
      <c r="F73" s="19"/>
    </row>
    <row r="74" spans="2:6" ht="15" customHeight="1" x14ac:dyDescent="0.35">
      <c r="B74" s="22">
        <v>0</v>
      </c>
      <c r="C74" s="17"/>
      <c r="D74" s="17"/>
      <c r="E74" s="18"/>
      <c r="F74" s="19"/>
    </row>
    <row r="75" spans="2:6" ht="15" customHeight="1" x14ac:dyDescent="0.35">
      <c r="B75" s="22">
        <v>0</v>
      </c>
      <c r="C75" s="17"/>
      <c r="D75" s="17"/>
      <c r="E75" s="18"/>
      <c r="F75" s="19"/>
    </row>
    <row r="76" spans="2:6" ht="15" customHeight="1" x14ac:dyDescent="0.35">
      <c r="B76" s="22">
        <v>0</v>
      </c>
      <c r="C76" s="17"/>
      <c r="D76" s="17"/>
      <c r="E76" s="18"/>
      <c r="F76" s="19"/>
    </row>
    <row r="77" spans="2:6" ht="15" customHeight="1" x14ac:dyDescent="0.35">
      <c r="B77" s="22">
        <v>0</v>
      </c>
      <c r="C77" s="17"/>
      <c r="D77" s="17"/>
      <c r="E77" s="18"/>
      <c r="F77" s="19"/>
    </row>
    <row r="78" spans="2:6" ht="15" customHeight="1" x14ac:dyDescent="0.35">
      <c r="B78" s="22">
        <v>0</v>
      </c>
      <c r="C78" s="17"/>
      <c r="D78" s="17"/>
      <c r="E78" s="18"/>
      <c r="F78" s="19"/>
    </row>
    <row r="79" spans="2:6" ht="15" customHeight="1" x14ac:dyDescent="0.35">
      <c r="B79" s="22">
        <v>0</v>
      </c>
      <c r="C79" s="17"/>
      <c r="D79" s="17"/>
      <c r="E79" s="18"/>
      <c r="F79" s="19"/>
    </row>
    <row r="80" spans="2:6" ht="15" customHeight="1" x14ac:dyDescent="0.35">
      <c r="B80" s="22">
        <v>0</v>
      </c>
      <c r="C80" s="17"/>
      <c r="D80" s="17"/>
      <c r="E80" s="18"/>
      <c r="F80" s="19"/>
    </row>
    <row r="81" spans="2:6" ht="15" customHeight="1" x14ac:dyDescent="0.35">
      <c r="B81" s="22">
        <v>0</v>
      </c>
      <c r="C81" s="17"/>
      <c r="D81" s="17"/>
      <c r="E81" s="18"/>
      <c r="F81" s="19"/>
    </row>
    <row r="82" spans="2:6" ht="15" customHeight="1" x14ac:dyDescent="0.35">
      <c r="B82" s="22">
        <v>0</v>
      </c>
      <c r="C82" s="17"/>
      <c r="D82" s="17"/>
      <c r="E82" s="18"/>
      <c r="F82" s="19"/>
    </row>
    <row r="83" spans="2:6" ht="15" customHeight="1" x14ac:dyDescent="0.35">
      <c r="B83" s="22">
        <v>0</v>
      </c>
      <c r="C83" s="17"/>
      <c r="D83" s="17"/>
      <c r="E83" s="18"/>
      <c r="F83" s="19"/>
    </row>
    <row r="84" spans="2:6" ht="15" customHeight="1" x14ac:dyDescent="0.35">
      <c r="B84" s="22">
        <v>0</v>
      </c>
      <c r="C84" s="17"/>
      <c r="D84" s="17"/>
      <c r="E84" s="18"/>
      <c r="F84" s="19"/>
    </row>
    <row r="85" spans="2:6" ht="15" customHeight="1" x14ac:dyDescent="0.35">
      <c r="B85" s="22">
        <v>0</v>
      </c>
      <c r="C85" s="17"/>
      <c r="D85" s="17"/>
      <c r="E85" s="18"/>
      <c r="F85" s="19"/>
    </row>
    <row r="86" spans="2:6" ht="15" customHeight="1" x14ac:dyDescent="0.35">
      <c r="B86" s="22">
        <v>0</v>
      </c>
      <c r="C86" s="17"/>
      <c r="D86" s="17"/>
      <c r="E86" s="18"/>
      <c r="F86" s="19"/>
    </row>
    <row r="87" spans="2:6" ht="15" customHeight="1" x14ac:dyDescent="0.35">
      <c r="B87" s="22">
        <v>0</v>
      </c>
      <c r="C87" s="17"/>
      <c r="D87" s="17"/>
      <c r="E87" s="18"/>
      <c r="F87" s="19"/>
    </row>
    <row r="88" spans="2:6" ht="15" customHeight="1" x14ac:dyDescent="0.35">
      <c r="B88" s="22">
        <v>0</v>
      </c>
      <c r="C88" s="17"/>
      <c r="D88" s="17"/>
      <c r="E88" s="18"/>
      <c r="F88" s="19"/>
    </row>
    <row r="89" spans="2:6" ht="15" customHeight="1" x14ac:dyDescent="0.35">
      <c r="B89" s="22">
        <v>0</v>
      </c>
      <c r="C89" s="17"/>
      <c r="D89" s="17"/>
      <c r="E89" s="18"/>
      <c r="F89" s="19"/>
    </row>
    <row r="90" spans="2:6" ht="15" customHeight="1" x14ac:dyDescent="0.35">
      <c r="B90" s="22">
        <v>0</v>
      </c>
      <c r="C90" s="17"/>
      <c r="D90" s="17"/>
      <c r="E90" s="18"/>
      <c r="F90" s="19"/>
    </row>
    <row r="91" spans="2:6" ht="15" customHeight="1" x14ac:dyDescent="0.35">
      <c r="B91" s="22">
        <v>0</v>
      </c>
      <c r="C91" s="17"/>
      <c r="D91" s="17"/>
      <c r="E91" s="18"/>
      <c r="F91" s="19"/>
    </row>
    <row r="92" spans="2:6" ht="15" customHeight="1" x14ac:dyDescent="0.35">
      <c r="B92" s="22">
        <v>0</v>
      </c>
      <c r="C92" s="17"/>
      <c r="D92" s="17"/>
      <c r="E92" s="18"/>
      <c r="F92" s="19"/>
    </row>
    <row r="93" spans="2:6" ht="15" customHeight="1" x14ac:dyDescent="0.35">
      <c r="B93" s="22">
        <v>0</v>
      </c>
      <c r="C93" s="17"/>
      <c r="D93" s="17"/>
      <c r="E93" s="18"/>
      <c r="F93" s="19"/>
    </row>
    <row r="94" spans="2:6" ht="15" customHeight="1" x14ac:dyDescent="0.35">
      <c r="B94" s="22">
        <v>0</v>
      </c>
      <c r="C94" s="17"/>
      <c r="D94" s="17"/>
      <c r="E94" s="18"/>
      <c r="F94" s="19"/>
    </row>
    <row r="95" spans="2:6" ht="15" customHeight="1" x14ac:dyDescent="0.35">
      <c r="B95" s="22">
        <v>0</v>
      </c>
      <c r="C95" s="17"/>
      <c r="D95" s="17"/>
      <c r="E95" s="18"/>
      <c r="F95" s="19"/>
    </row>
    <row r="96" spans="2:6" ht="15" customHeight="1" x14ac:dyDescent="0.35">
      <c r="B96" s="22">
        <v>0</v>
      </c>
      <c r="C96" s="17"/>
      <c r="D96" s="17"/>
      <c r="E96" s="18"/>
      <c r="F96" s="19"/>
    </row>
    <row r="97" spans="2:6" ht="15" customHeight="1" x14ac:dyDescent="0.35">
      <c r="B97" s="22">
        <v>0</v>
      </c>
      <c r="C97" s="17"/>
      <c r="D97" s="17"/>
      <c r="E97" s="18"/>
      <c r="F97" s="19"/>
    </row>
    <row r="98" spans="2:6" ht="15" customHeight="1" x14ac:dyDescent="0.35">
      <c r="B98" s="22">
        <v>0</v>
      </c>
      <c r="C98" s="17"/>
      <c r="D98" s="17"/>
      <c r="E98" s="18"/>
      <c r="F98" s="19"/>
    </row>
    <row r="99" spans="2:6" ht="15" customHeight="1" x14ac:dyDescent="0.35">
      <c r="B99" s="22">
        <v>0</v>
      </c>
      <c r="C99" s="17"/>
      <c r="D99" s="17"/>
      <c r="E99" s="18"/>
      <c r="F99" s="19"/>
    </row>
    <row r="100" spans="2:6" ht="15" customHeight="1" x14ac:dyDescent="0.35">
      <c r="B100" s="22">
        <v>0</v>
      </c>
      <c r="C100" s="17"/>
      <c r="D100" s="17"/>
      <c r="E100" s="18"/>
      <c r="F100" s="19"/>
    </row>
    <row r="101" spans="2:6" ht="15" customHeight="1" x14ac:dyDescent="0.35">
      <c r="B101" s="22">
        <v>0</v>
      </c>
      <c r="C101" s="17"/>
      <c r="D101" s="17"/>
      <c r="E101" s="18"/>
      <c r="F101" s="19"/>
    </row>
    <row r="102" spans="2:6" ht="15" customHeight="1" x14ac:dyDescent="0.35">
      <c r="B102" s="22">
        <v>0</v>
      </c>
      <c r="C102" s="17"/>
      <c r="D102" s="17"/>
      <c r="E102" s="18"/>
      <c r="F102" s="19"/>
    </row>
    <row r="103" spans="2:6" ht="15" customHeight="1" x14ac:dyDescent="0.35">
      <c r="B103" s="22">
        <v>0</v>
      </c>
      <c r="C103" s="17"/>
      <c r="D103" s="17"/>
      <c r="E103" s="18"/>
      <c r="F103" s="19"/>
    </row>
    <row r="104" spans="2:6" ht="15" customHeight="1" x14ac:dyDescent="0.35">
      <c r="B104" s="22">
        <v>0</v>
      </c>
      <c r="C104" s="17"/>
      <c r="D104" s="17"/>
      <c r="E104" s="18"/>
      <c r="F104" s="19"/>
    </row>
    <row r="105" spans="2:6" ht="15" customHeight="1" x14ac:dyDescent="0.35">
      <c r="B105" s="22">
        <v>0</v>
      </c>
      <c r="C105" s="17"/>
      <c r="D105" s="17"/>
      <c r="E105" s="18"/>
      <c r="F105" s="19"/>
    </row>
    <row r="106" spans="2:6" ht="15" customHeight="1" x14ac:dyDescent="0.35">
      <c r="B106" s="22">
        <v>0</v>
      </c>
      <c r="C106" s="17"/>
      <c r="D106" s="17"/>
      <c r="E106" s="18"/>
      <c r="F106" s="19"/>
    </row>
    <row r="107" spans="2:6" ht="15" customHeight="1" x14ac:dyDescent="0.35">
      <c r="B107" s="22">
        <v>0</v>
      </c>
      <c r="C107" s="17"/>
      <c r="D107" s="17"/>
      <c r="E107" s="18"/>
      <c r="F107" s="19"/>
    </row>
    <row r="108" spans="2:6" ht="15" customHeight="1" x14ac:dyDescent="0.35">
      <c r="B108" s="22">
        <v>0</v>
      </c>
      <c r="C108" s="17"/>
      <c r="D108" s="17"/>
      <c r="E108" s="18"/>
      <c r="F108" s="19"/>
    </row>
    <row r="109" spans="2:6" ht="15" customHeight="1" x14ac:dyDescent="0.35">
      <c r="B109" s="22">
        <v>0</v>
      </c>
      <c r="C109" s="17"/>
      <c r="D109" s="17"/>
      <c r="E109" s="18"/>
      <c r="F109" s="19"/>
    </row>
    <row r="110" spans="2:6" ht="15" customHeight="1" x14ac:dyDescent="0.35">
      <c r="B110" s="22">
        <v>0</v>
      </c>
      <c r="C110" s="17"/>
      <c r="D110" s="17"/>
      <c r="E110" s="18"/>
      <c r="F110" s="19"/>
    </row>
    <row r="111" spans="2:6" ht="15" customHeight="1" x14ac:dyDescent="0.35">
      <c r="B111" s="22">
        <v>0</v>
      </c>
      <c r="C111" s="17"/>
      <c r="D111" s="17"/>
      <c r="E111" s="18"/>
      <c r="F111" s="19"/>
    </row>
    <row r="112" spans="2:6" ht="15" customHeight="1" x14ac:dyDescent="0.35">
      <c r="B112" s="22">
        <v>0</v>
      </c>
      <c r="C112" s="17"/>
      <c r="D112" s="17"/>
      <c r="E112" s="18"/>
      <c r="F112" s="19"/>
    </row>
    <row r="113" spans="2:6" ht="15" customHeight="1" x14ac:dyDescent="0.35">
      <c r="B113" s="22">
        <v>0</v>
      </c>
      <c r="C113" s="17"/>
      <c r="D113" s="17"/>
      <c r="E113" s="18"/>
      <c r="F113" s="19"/>
    </row>
    <row r="114" spans="2:6" ht="15" customHeight="1" x14ac:dyDescent="0.35">
      <c r="B114" s="22">
        <v>0</v>
      </c>
      <c r="C114" s="17"/>
      <c r="D114" s="17"/>
      <c r="E114" s="18"/>
      <c r="F114" s="19"/>
    </row>
    <row r="115" spans="2:6" ht="15" customHeight="1" x14ac:dyDescent="0.35">
      <c r="B115" s="22">
        <v>0</v>
      </c>
      <c r="C115" s="17"/>
      <c r="D115" s="17"/>
      <c r="E115" s="18"/>
      <c r="F115" s="19"/>
    </row>
    <row r="116" spans="2:6" ht="15" customHeight="1" x14ac:dyDescent="0.35">
      <c r="B116" s="22">
        <v>0</v>
      </c>
      <c r="C116" s="17"/>
      <c r="D116" s="17"/>
      <c r="E116" s="18"/>
      <c r="F116" s="19"/>
    </row>
    <row r="117" spans="2:6" ht="15" customHeight="1" x14ac:dyDescent="0.35">
      <c r="B117" s="22">
        <v>0</v>
      </c>
      <c r="C117" s="17"/>
      <c r="D117" s="17"/>
      <c r="E117" s="18"/>
      <c r="F117" s="19"/>
    </row>
    <row r="118" spans="2:6" ht="15" customHeight="1" x14ac:dyDescent="0.35">
      <c r="B118" s="22">
        <v>0</v>
      </c>
      <c r="C118" s="17"/>
      <c r="D118" s="17"/>
      <c r="E118" s="18"/>
      <c r="F118" s="19"/>
    </row>
    <row r="119" spans="2:6" ht="15" customHeight="1" x14ac:dyDescent="0.35">
      <c r="B119" s="22">
        <v>0</v>
      </c>
      <c r="C119" s="17"/>
      <c r="D119" s="17"/>
      <c r="E119" s="18"/>
      <c r="F119" s="19"/>
    </row>
    <row r="120" spans="2:6" ht="15" customHeight="1" x14ac:dyDescent="0.35">
      <c r="B120" s="22">
        <v>0</v>
      </c>
      <c r="C120" s="17"/>
      <c r="D120" s="17"/>
      <c r="E120" s="18"/>
      <c r="F120" s="19"/>
    </row>
    <row r="121" spans="2:6" ht="15" customHeight="1" x14ac:dyDescent="0.35">
      <c r="B121" s="22">
        <v>0</v>
      </c>
      <c r="C121" s="17"/>
      <c r="D121" s="17"/>
      <c r="E121" s="18"/>
      <c r="F121" s="19"/>
    </row>
    <row r="122" spans="2:6" ht="15" customHeight="1" x14ac:dyDescent="0.35">
      <c r="B122" s="22">
        <v>0</v>
      </c>
      <c r="C122" s="17"/>
      <c r="D122" s="17"/>
      <c r="E122" s="18"/>
      <c r="F122" s="19"/>
    </row>
    <row r="123" spans="2:6" ht="15" customHeight="1" x14ac:dyDescent="0.35">
      <c r="B123" s="22">
        <v>0</v>
      </c>
      <c r="C123" s="17"/>
      <c r="D123" s="17"/>
      <c r="E123" s="18"/>
      <c r="F123" s="19"/>
    </row>
    <row r="124" spans="2:6" ht="15" customHeight="1" x14ac:dyDescent="0.35">
      <c r="B124" s="22">
        <v>0</v>
      </c>
      <c r="C124" s="17"/>
      <c r="D124" s="17"/>
      <c r="E124" s="18"/>
      <c r="F124" s="19"/>
    </row>
    <row r="125" spans="2:6" ht="15" customHeight="1" x14ac:dyDescent="0.35">
      <c r="B125" s="22">
        <v>0</v>
      </c>
      <c r="C125" s="17"/>
      <c r="D125" s="17"/>
      <c r="E125" s="18"/>
      <c r="F125" s="19"/>
    </row>
    <row r="126" spans="2:6" ht="15" customHeight="1" x14ac:dyDescent="0.35">
      <c r="B126" s="22">
        <v>0</v>
      </c>
      <c r="C126" s="17"/>
      <c r="D126" s="17"/>
      <c r="E126" s="18"/>
      <c r="F126" s="19"/>
    </row>
    <row r="127" spans="2:6" ht="15" customHeight="1" x14ac:dyDescent="0.35">
      <c r="B127" s="22">
        <v>0</v>
      </c>
      <c r="C127" s="17"/>
      <c r="D127" s="17"/>
      <c r="E127" s="18"/>
      <c r="F127" s="19"/>
    </row>
    <row r="128" spans="2:6" ht="15" customHeight="1" x14ac:dyDescent="0.35">
      <c r="B128" s="22">
        <v>0</v>
      </c>
      <c r="C128" s="17"/>
      <c r="D128" s="17"/>
      <c r="E128" s="18"/>
      <c r="F128" s="19"/>
    </row>
    <row r="129" spans="2:6" ht="15" customHeight="1" x14ac:dyDescent="0.35">
      <c r="B129" s="22">
        <v>0</v>
      </c>
      <c r="C129" s="17"/>
      <c r="D129" s="17"/>
      <c r="E129" s="18"/>
      <c r="F129" s="19"/>
    </row>
    <row r="130" spans="2:6" ht="15" customHeight="1" x14ac:dyDescent="0.35">
      <c r="B130" s="22">
        <v>0</v>
      </c>
      <c r="C130" s="17"/>
      <c r="D130" s="17"/>
      <c r="E130" s="18"/>
      <c r="F130" s="19"/>
    </row>
    <row r="131" spans="2:6" ht="15" customHeight="1" x14ac:dyDescent="0.35">
      <c r="B131" s="22">
        <v>0</v>
      </c>
      <c r="C131" s="17"/>
      <c r="D131" s="17"/>
      <c r="E131" s="18"/>
      <c r="F131" s="19"/>
    </row>
    <row r="132" spans="2:6" ht="15" customHeight="1" x14ac:dyDescent="0.35">
      <c r="B132" s="22">
        <v>0</v>
      </c>
      <c r="C132" s="17"/>
      <c r="D132" s="17"/>
      <c r="E132" s="18"/>
      <c r="F132" s="19"/>
    </row>
    <row r="133" spans="2:6" ht="15" customHeight="1" x14ac:dyDescent="0.35">
      <c r="B133" s="22">
        <v>0</v>
      </c>
      <c r="C133" s="17"/>
      <c r="D133" s="17"/>
      <c r="E133" s="18"/>
      <c r="F133" s="19"/>
    </row>
    <row r="134" spans="2:6" ht="15" customHeight="1" x14ac:dyDescent="0.35">
      <c r="B134" s="22">
        <v>0</v>
      </c>
      <c r="C134" s="17"/>
      <c r="D134" s="17"/>
      <c r="E134" s="18"/>
      <c r="F134" s="19"/>
    </row>
    <row r="135" spans="2:6" ht="15" customHeight="1" x14ac:dyDescent="0.35">
      <c r="B135" s="22">
        <v>0</v>
      </c>
      <c r="C135" s="17"/>
      <c r="D135" s="17"/>
      <c r="E135" s="18"/>
      <c r="F135" s="19"/>
    </row>
    <row r="136" spans="2:6" ht="15" customHeight="1" x14ac:dyDescent="0.35">
      <c r="B136" s="22">
        <v>0</v>
      </c>
      <c r="C136" s="17"/>
      <c r="D136" s="17"/>
      <c r="E136" s="18"/>
      <c r="F136" s="19"/>
    </row>
    <row r="137" spans="2:6" ht="15" customHeight="1" x14ac:dyDescent="0.35">
      <c r="B137" s="22">
        <v>0</v>
      </c>
      <c r="C137" s="17"/>
      <c r="D137" s="17"/>
      <c r="E137" s="18"/>
      <c r="F137" s="19"/>
    </row>
    <row r="138" spans="2:6" ht="15" customHeight="1" x14ac:dyDescent="0.35">
      <c r="B138" s="22">
        <v>0</v>
      </c>
      <c r="C138" s="17"/>
      <c r="D138" s="17"/>
      <c r="E138" s="18"/>
      <c r="F138" s="19"/>
    </row>
    <row r="139" spans="2:6" ht="15" customHeight="1" x14ac:dyDescent="0.35">
      <c r="B139" s="22">
        <v>0</v>
      </c>
      <c r="C139" s="17"/>
      <c r="D139" s="17"/>
      <c r="E139" s="18"/>
      <c r="F139" s="19"/>
    </row>
    <row r="140" spans="2:6" ht="15" customHeight="1" x14ac:dyDescent="0.35">
      <c r="B140" s="22">
        <v>0</v>
      </c>
      <c r="C140" s="17"/>
      <c r="D140" s="17"/>
      <c r="E140" s="18"/>
      <c r="F140" s="19"/>
    </row>
    <row r="141" spans="2:6" ht="15" customHeight="1" x14ac:dyDescent="0.35">
      <c r="B141" s="22">
        <v>0</v>
      </c>
      <c r="C141" s="17"/>
      <c r="D141" s="17"/>
      <c r="E141" s="18"/>
      <c r="F141" s="19"/>
    </row>
    <row r="142" spans="2:6" ht="15" customHeight="1" x14ac:dyDescent="0.35">
      <c r="B142" s="22">
        <v>0</v>
      </c>
      <c r="C142" s="17"/>
      <c r="D142" s="17"/>
      <c r="E142" s="18"/>
      <c r="F142" s="19"/>
    </row>
    <row r="143" spans="2:6" ht="15" customHeight="1" x14ac:dyDescent="0.35">
      <c r="B143" s="22">
        <v>0</v>
      </c>
      <c r="C143" s="17"/>
      <c r="D143" s="17"/>
      <c r="E143" s="18"/>
      <c r="F143" s="19"/>
    </row>
    <row r="144" spans="2:6" ht="15" customHeight="1" x14ac:dyDescent="0.35">
      <c r="B144" s="22">
        <v>0</v>
      </c>
      <c r="C144" s="17"/>
      <c r="D144" s="17"/>
      <c r="E144" s="18"/>
      <c r="F144" s="19"/>
    </row>
    <row r="145" spans="2:6" ht="15" customHeight="1" x14ac:dyDescent="0.35">
      <c r="B145" s="22">
        <v>0</v>
      </c>
      <c r="C145" s="17"/>
      <c r="D145" s="17"/>
      <c r="E145" s="18"/>
      <c r="F145" s="19"/>
    </row>
    <row r="146" spans="2:6" ht="15" customHeight="1" x14ac:dyDescent="0.35">
      <c r="B146" s="22">
        <v>0</v>
      </c>
      <c r="C146" s="17"/>
      <c r="D146" s="17"/>
      <c r="E146" s="18"/>
      <c r="F146" s="19"/>
    </row>
    <row r="147" spans="2:6" ht="15" customHeight="1" x14ac:dyDescent="0.35">
      <c r="B147" s="22">
        <v>0</v>
      </c>
      <c r="C147" s="17"/>
      <c r="D147" s="17"/>
      <c r="E147" s="18"/>
      <c r="F147" s="19"/>
    </row>
    <row r="148" spans="2:6" ht="15" customHeight="1" x14ac:dyDescent="0.35">
      <c r="B148" s="22">
        <v>0</v>
      </c>
      <c r="C148" s="17"/>
      <c r="D148" s="17"/>
      <c r="E148" s="18"/>
      <c r="F148" s="19"/>
    </row>
    <row r="149" spans="2:6" ht="15" customHeight="1" x14ac:dyDescent="0.35">
      <c r="B149" s="22">
        <v>0</v>
      </c>
      <c r="C149" s="17"/>
      <c r="D149" s="17"/>
      <c r="E149" s="18"/>
      <c r="F149" s="19"/>
    </row>
    <row r="150" spans="2:6" ht="15" customHeight="1" x14ac:dyDescent="0.35">
      <c r="B150" s="22">
        <v>0</v>
      </c>
      <c r="C150" s="17"/>
      <c r="D150" s="17"/>
      <c r="E150" s="18"/>
      <c r="F150" s="19"/>
    </row>
    <row r="151" spans="2:6" ht="15" customHeight="1" x14ac:dyDescent="0.35">
      <c r="B151" s="22">
        <v>0</v>
      </c>
      <c r="C151" s="17"/>
      <c r="D151" s="17"/>
      <c r="E151" s="18"/>
      <c r="F151" s="19"/>
    </row>
    <row r="152" spans="2:6" ht="15" customHeight="1" x14ac:dyDescent="0.35">
      <c r="B152" s="22">
        <v>0</v>
      </c>
      <c r="C152" s="17"/>
      <c r="D152" s="17"/>
      <c r="E152" s="18"/>
      <c r="F152" s="19"/>
    </row>
    <row r="153" spans="2:6" ht="15" customHeight="1" x14ac:dyDescent="0.35">
      <c r="B153" s="22">
        <v>0</v>
      </c>
      <c r="C153" s="17"/>
      <c r="D153" s="17"/>
      <c r="E153" s="18"/>
      <c r="F153" s="19"/>
    </row>
    <row r="154" spans="2:6" ht="15" customHeight="1" x14ac:dyDescent="0.35">
      <c r="B154" s="22">
        <v>0</v>
      </c>
      <c r="C154" s="17"/>
      <c r="D154" s="17"/>
      <c r="E154" s="18"/>
      <c r="F154" s="19"/>
    </row>
    <row r="155" spans="2:6" ht="15" customHeight="1" x14ac:dyDescent="0.35">
      <c r="B155" s="22">
        <v>0</v>
      </c>
      <c r="C155" s="17"/>
      <c r="D155" s="17"/>
      <c r="E155" s="18"/>
      <c r="F155" s="19"/>
    </row>
    <row r="156" spans="2:6" ht="15" customHeight="1" x14ac:dyDescent="0.35">
      <c r="B156" s="22">
        <v>0</v>
      </c>
      <c r="C156" s="17"/>
      <c r="D156" s="17"/>
      <c r="E156" s="18"/>
      <c r="F156" s="19"/>
    </row>
    <row r="157" spans="2:6" ht="15" customHeight="1" x14ac:dyDescent="0.35">
      <c r="B157" s="22">
        <v>0</v>
      </c>
      <c r="C157" s="17"/>
      <c r="D157" s="17"/>
      <c r="E157" s="18"/>
      <c r="F157" s="19"/>
    </row>
    <row r="158" spans="2:6" ht="15" customHeight="1" x14ac:dyDescent="0.35">
      <c r="B158" s="22">
        <v>0</v>
      </c>
      <c r="C158" s="17"/>
      <c r="D158" s="17"/>
      <c r="E158" s="18"/>
      <c r="F158" s="19"/>
    </row>
    <row r="159" spans="2:6" ht="15" customHeight="1" x14ac:dyDescent="0.35">
      <c r="B159" s="22">
        <v>0</v>
      </c>
      <c r="C159" s="17"/>
      <c r="D159" s="17"/>
      <c r="E159" s="18"/>
      <c r="F159" s="19"/>
    </row>
    <row r="160" spans="2:6" ht="15" customHeight="1" x14ac:dyDescent="0.35">
      <c r="B160" s="22">
        <v>0</v>
      </c>
      <c r="C160" s="17"/>
      <c r="D160" s="17"/>
      <c r="E160" s="18"/>
      <c r="F160" s="19"/>
    </row>
    <row r="161" spans="2:6" ht="15" customHeight="1" x14ac:dyDescent="0.35">
      <c r="B161" s="22">
        <v>0</v>
      </c>
      <c r="C161" s="17"/>
      <c r="D161" s="17"/>
      <c r="E161" s="18"/>
      <c r="F161" s="19"/>
    </row>
    <row r="162" spans="2:6" ht="15" customHeight="1" x14ac:dyDescent="0.35">
      <c r="B162" s="22">
        <v>0</v>
      </c>
      <c r="C162" s="17"/>
      <c r="D162" s="17"/>
      <c r="E162" s="18"/>
      <c r="F162" s="19"/>
    </row>
    <row r="163" spans="2:6" ht="15" customHeight="1" x14ac:dyDescent="0.35">
      <c r="B163" s="22">
        <v>0</v>
      </c>
      <c r="C163" s="17"/>
      <c r="D163" s="17"/>
      <c r="E163" s="18"/>
      <c r="F163" s="19"/>
    </row>
    <row r="164" spans="2:6" ht="15" customHeight="1" x14ac:dyDescent="0.35">
      <c r="B164" s="22">
        <v>0</v>
      </c>
      <c r="C164" s="17"/>
      <c r="D164" s="17"/>
      <c r="E164" s="18"/>
      <c r="F164" s="19"/>
    </row>
    <row r="165" spans="2:6" ht="15" customHeight="1" x14ac:dyDescent="0.35">
      <c r="B165" s="22">
        <v>0</v>
      </c>
      <c r="C165" s="17"/>
      <c r="D165" s="17"/>
      <c r="E165" s="18"/>
      <c r="F165" s="19"/>
    </row>
  </sheetData>
  <mergeCells count="5">
    <mergeCell ref="E3:F3"/>
    <mergeCell ref="E4:F4"/>
    <mergeCell ref="B6:F6"/>
    <mergeCell ref="B3:D3"/>
    <mergeCell ref="B4:D4"/>
  </mergeCells>
  <conditionalFormatting sqref="B8:B165">
    <cfRule type="dataBar" priority="1">
      <dataBar>
        <cfvo type="num" val="0"/>
        <cfvo type="num" val="1"/>
        <color rgb="FF00B050"/>
      </dataBar>
      <extLst>
        <ext xmlns:x14="http://schemas.microsoft.com/office/spreadsheetml/2009/9/main" uri="{B025F937-C7B1-47D3-B67F-A62EFF666E3E}">
          <x14:id>{D97A6647-7436-4FCA-B0E1-C516559250F0}</x14:id>
        </ext>
      </extLst>
    </cfRule>
  </conditionalFormatting>
  <dataValidations count="11">
    <dataValidation allowBlank="1" showInputMessage="1" showErrorMessage="1" prompt="Enter Notes in this column under this heading" sqref="F7"/>
    <dataValidation allowBlank="1" showInputMessage="1" showErrorMessage="1" prompt="Enter project Phase in this column under this heading" sqref="C7:D7"/>
    <dataValidation allowBlank="1" showInputMessage="1" showErrorMessage="1" prompt="Enter Percent done in this column under this heading. Data bar showing Percent done is automatically updated in each row. Use heading filters to find specific entries" sqref="B7"/>
    <dataValidation allowBlank="1" showInputMessage="1" showErrorMessage="1" prompt="Enter deadline Date in this cell" sqref="E4"/>
    <dataValidation allowBlank="1" showInputMessage="1" showErrorMessage="1" prompt="Enter deadline Date in cell at right" sqref="B4"/>
    <dataValidation allowBlank="1" showInputMessage="1" showErrorMessage="1" prompt="Enter To be completed by person Name in this cell" sqref="E3:F3"/>
    <dataValidation allowBlank="1" showInputMessage="1" showErrorMessage="1" prompt="Enter To be completed by person Name in cell at right" sqref="B3"/>
    <dataValidation allowBlank="1" showInputMessage="1" showErrorMessage="1" prompt="Title of worksheet is in this cell. Enter Name of person to complete this project in cell D3 and deadline Date in cell D4. Enter project details in table starting in cell B7" sqref="B1"/>
    <dataValidation allowBlank="1" showInputMessage="1" showErrorMessage="1" prompt="Create a To-do list for projects in this workbook. Enter project details for Project 1 in this worksheet and details of Project 2 and Project 3 in subsequent worksheets" sqref="A1 G1"/>
    <dataValidation allowBlank="1" showInputMessage="1" showErrorMessage="1" prompt="Enter Due By date in this column under this heading" sqref="E7"/>
    <dataValidation allowBlank="1" showInputMessage="1" showErrorMessage="1" prompt="Enter details of Project 1 in table below" sqref="B6:F6"/>
  </dataValidations>
  <printOptions horizontalCentered="1"/>
  <pageMargins left="0.5" right="0.5" top="0.5" bottom="0.5" header="0.25" footer="0.25"/>
  <pageSetup scale="90" fitToHeight="0" orientation="portrait"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D97A6647-7436-4FCA-B0E1-C516559250F0}">
            <x14:dataBar minLength="0" maxLength="100" border="1" gradient="0">
              <x14:cfvo type="num">
                <xm:f>0</xm:f>
              </x14:cfvo>
              <x14:cfvo type="num">
                <xm:f>1</xm:f>
              </x14:cfvo>
              <x14:borderColor rgb="FF000000"/>
              <x14:negativeFillColor rgb="FFFF0000"/>
              <x14:axisColor rgb="FF000000"/>
            </x14:dataBar>
          </x14:cfRule>
          <xm:sqref>B8:B165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OFFSET(Tables!$F$2,,,COUNTA(Tables!$F$2:$F$101),)</xm:f>
          </x14:formula1>
          <xm:sqref>C8:C165</xm:sqref>
        </x14:dataValidation>
        <x14:dataValidation type="list" allowBlank="1" showInputMessage="1" showErrorMessage="1">
          <x14:formula1>
            <xm:f>OFFSET(Tables!$A$2,,,COUNTA(Tables!$A$2:$A$101),)</xm:f>
          </x14:formula1>
          <xm:sqref>D8:D165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79998168889431442"/>
    <pageSetUpPr fitToPage="1"/>
  </sheetPr>
  <dimension ref="B1:H165"/>
  <sheetViews>
    <sheetView showGridLines="0" topLeftCell="A10" zoomScaleNormal="100" workbookViewId="0">
      <selection activeCell="D26" sqref="D26"/>
    </sheetView>
  </sheetViews>
  <sheetFormatPr defaultColWidth="9.125" defaultRowHeight="30" customHeight="1" x14ac:dyDescent="0.35"/>
  <cols>
    <col min="1" max="1" width="2.75" customWidth="1"/>
    <col min="2" max="2" width="9.875" customWidth="1"/>
    <col min="3" max="3" width="11.25" bestFit="1" customWidth="1"/>
    <col min="4" max="4" width="11.875" bestFit="1" customWidth="1"/>
    <col min="5" max="5" width="27.875" bestFit="1" customWidth="1"/>
    <col min="6" max="6" width="8.75" bestFit="1" customWidth="1"/>
    <col min="7" max="7" width="44" bestFit="1" customWidth="1"/>
    <col min="8" max="8" width="112.75" customWidth="1"/>
    <col min="9" max="9" width="2.75" customWidth="1"/>
  </cols>
  <sheetData>
    <row r="1" spans="2:8" s="1" customFormat="1" ht="42.75" customHeight="1" x14ac:dyDescent="0.5">
      <c r="B1" s="2" t="s">
        <v>62</v>
      </c>
      <c r="C1" s="2"/>
      <c r="D1" s="2"/>
      <c r="E1" s="2"/>
      <c r="F1" s="2"/>
      <c r="G1" s="2"/>
      <c r="H1" s="2"/>
    </row>
    <row r="2" spans="2:8" ht="15" customHeight="1" x14ac:dyDescent="0.35"/>
    <row r="3" spans="2:8" s="1" customFormat="1" ht="18" customHeight="1" x14ac:dyDescent="0.35">
      <c r="B3" s="40" t="s">
        <v>0</v>
      </c>
      <c r="C3" s="40"/>
      <c r="D3" s="40"/>
      <c r="E3" s="40"/>
      <c r="F3" s="41"/>
      <c r="G3" s="36" t="str">
        <f>Targets!E3</f>
        <v>Massimo Maffeo</v>
      </c>
      <c r="H3" s="36"/>
    </row>
    <row r="4" spans="2:8" s="1" customFormat="1" ht="18" customHeight="1" x14ac:dyDescent="0.35">
      <c r="B4" s="40" t="s">
        <v>1</v>
      </c>
      <c r="C4" s="40"/>
      <c r="D4" s="40"/>
      <c r="E4" s="40"/>
      <c r="F4" s="41"/>
      <c r="G4" s="37">
        <f>Targets!E4</f>
        <v>43404</v>
      </c>
      <c r="H4" s="38"/>
    </row>
    <row r="5" spans="2:8" ht="15" customHeight="1" x14ac:dyDescent="0.35"/>
    <row r="6" spans="2:8" s="1" customFormat="1" ht="30" customHeight="1" x14ac:dyDescent="0.4">
      <c r="B6" s="39"/>
      <c r="C6" s="39"/>
      <c r="D6" s="39"/>
      <c r="E6" s="39"/>
      <c r="F6" s="39"/>
      <c r="G6" s="39"/>
      <c r="H6" s="39"/>
    </row>
    <row r="7" spans="2:8" s="1" customFormat="1" ht="30" customHeight="1" x14ac:dyDescent="0.35">
      <c r="B7" s="3" t="s">
        <v>3</v>
      </c>
      <c r="C7" s="3" t="s">
        <v>6</v>
      </c>
      <c r="D7" s="3" t="s">
        <v>5</v>
      </c>
      <c r="E7" s="3" t="s">
        <v>9</v>
      </c>
      <c r="F7" s="3" t="s">
        <v>10</v>
      </c>
      <c r="G7" s="3" t="s">
        <v>4</v>
      </c>
      <c r="H7" s="4" t="s">
        <v>2</v>
      </c>
    </row>
    <row r="8" spans="2:8" s="1" customFormat="1" ht="15" x14ac:dyDescent="0.35">
      <c r="B8" s="22">
        <v>1</v>
      </c>
      <c r="C8" s="17" t="s">
        <v>50</v>
      </c>
      <c r="D8" s="17" t="s">
        <v>7</v>
      </c>
      <c r="E8" s="18" t="s">
        <v>8</v>
      </c>
      <c r="F8" s="18" t="s">
        <v>11</v>
      </c>
      <c r="G8" s="17" t="s">
        <v>44</v>
      </c>
      <c r="H8" s="19"/>
    </row>
    <row r="9" spans="2:8" s="1" customFormat="1" ht="15" x14ac:dyDescent="0.35">
      <c r="B9" s="22">
        <v>1</v>
      </c>
      <c r="C9" s="17" t="s">
        <v>50</v>
      </c>
      <c r="D9" s="17" t="s">
        <v>18</v>
      </c>
      <c r="E9" s="18" t="s">
        <v>19</v>
      </c>
      <c r="F9" s="18" t="s">
        <v>11</v>
      </c>
      <c r="G9" s="17" t="s">
        <v>35</v>
      </c>
      <c r="H9" s="24" t="s">
        <v>34</v>
      </c>
    </row>
    <row r="10" spans="2:8" s="1" customFormat="1" ht="15" x14ac:dyDescent="0.35">
      <c r="B10" s="22">
        <v>0.5</v>
      </c>
      <c r="C10" s="17" t="s">
        <v>50</v>
      </c>
      <c r="D10" s="17" t="s">
        <v>20</v>
      </c>
      <c r="E10" s="18" t="s">
        <v>33</v>
      </c>
      <c r="F10" s="18" t="s">
        <v>11</v>
      </c>
      <c r="G10" s="17" t="s">
        <v>36</v>
      </c>
      <c r="H10" s="19" t="s">
        <v>37</v>
      </c>
    </row>
    <row r="11" spans="2:8" s="1" customFormat="1" ht="15" x14ac:dyDescent="0.35">
      <c r="B11" s="22">
        <v>0.25</v>
      </c>
      <c r="C11" s="17" t="s">
        <v>50</v>
      </c>
      <c r="D11" s="17" t="s">
        <v>20</v>
      </c>
      <c r="E11" s="18" t="s">
        <v>33</v>
      </c>
      <c r="F11" s="18" t="s">
        <v>11</v>
      </c>
      <c r="G11" s="17" t="s">
        <v>38</v>
      </c>
      <c r="H11" s="19"/>
    </row>
    <row r="12" spans="2:8" s="1" customFormat="1" ht="15" x14ac:dyDescent="0.35">
      <c r="B12" s="22">
        <v>1</v>
      </c>
      <c r="C12" s="17" t="s">
        <v>50</v>
      </c>
      <c r="D12" s="17" t="s">
        <v>13</v>
      </c>
      <c r="E12" s="18" t="s">
        <v>17</v>
      </c>
      <c r="F12" s="18" t="s">
        <v>11</v>
      </c>
      <c r="G12" s="17" t="s">
        <v>39</v>
      </c>
      <c r="H12" s="19" t="s">
        <v>40</v>
      </c>
    </row>
    <row r="13" spans="2:8" s="1" customFormat="1" ht="15" x14ac:dyDescent="0.35">
      <c r="B13" s="22">
        <v>0.25</v>
      </c>
      <c r="C13" s="17" t="s">
        <v>50</v>
      </c>
      <c r="D13" s="17" t="s">
        <v>13</v>
      </c>
      <c r="E13" s="18" t="s">
        <v>27</v>
      </c>
      <c r="F13" s="18" t="s">
        <v>11</v>
      </c>
      <c r="G13" s="17" t="s">
        <v>41</v>
      </c>
      <c r="H13" s="19"/>
    </row>
    <row r="14" spans="2:8" s="1" customFormat="1" ht="15" x14ac:dyDescent="0.35">
      <c r="B14" s="22">
        <v>0</v>
      </c>
      <c r="C14" s="17" t="s">
        <v>50</v>
      </c>
      <c r="D14" s="17" t="s">
        <v>13</v>
      </c>
      <c r="E14" s="18" t="s">
        <v>28</v>
      </c>
      <c r="F14" s="18" t="s">
        <v>11</v>
      </c>
      <c r="G14" s="30" t="s">
        <v>41</v>
      </c>
      <c r="H14" s="25" t="s">
        <v>79</v>
      </c>
    </row>
    <row r="15" spans="2:8" s="1" customFormat="1" ht="15" x14ac:dyDescent="0.35">
      <c r="B15" s="22">
        <v>0.25</v>
      </c>
      <c r="C15" s="17" t="s">
        <v>50</v>
      </c>
      <c r="D15" s="17" t="s">
        <v>13</v>
      </c>
      <c r="E15" s="18" t="s">
        <v>29</v>
      </c>
      <c r="F15" s="18" t="s">
        <v>11</v>
      </c>
      <c r="G15" s="17" t="s">
        <v>41</v>
      </c>
      <c r="H15" s="20"/>
    </row>
    <row r="16" spans="2:8" s="1" customFormat="1" ht="15" x14ac:dyDescent="0.35">
      <c r="B16" s="22">
        <v>0</v>
      </c>
      <c r="C16" s="17" t="s">
        <v>50</v>
      </c>
      <c r="D16" s="17" t="s">
        <v>13</v>
      </c>
      <c r="E16" s="18" t="s">
        <v>30</v>
      </c>
      <c r="F16" s="18" t="s">
        <v>11</v>
      </c>
      <c r="G16" s="30" t="s">
        <v>41</v>
      </c>
      <c r="H16" s="25" t="s">
        <v>78</v>
      </c>
    </row>
    <row r="17" spans="2:8" ht="49.8" customHeight="1" x14ac:dyDescent="0.35">
      <c r="B17" s="22">
        <v>0</v>
      </c>
      <c r="C17" s="17" t="s">
        <v>50</v>
      </c>
      <c r="D17" s="17" t="s">
        <v>20</v>
      </c>
      <c r="E17" s="18" t="s">
        <v>33</v>
      </c>
      <c r="F17" s="18" t="s">
        <v>11</v>
      </c>
      <c r="G17" s="29" t="s">
        <v>42</v>
      </c>
      <c r="H17" s="25" t="s">
        <v>43</v>
      </c>
    </row>
    <row r="18" spans="2:8" ht="15" x14ac:dyDescent="0.35">
      <c r="B18" s="22">
        <v>0</v>
      </c>
      <c r="C18" s="17" t="s">
        <v>45</v>
      </c>
      <c r="D18" s="17" t="s">
        <v>20</v>
      </c>
      <c r="E18" s="18" t="s">
        <v>33</v>
      </c>
      <c r="F18" s="18" t="s">
        <v>11</v>
      </c>
      <c r="G18" s="16" t="s">
        <v>77</v>
      </c>
      <c r="H18" s="25" t="s">
        <v>51</v>
      </c>
    </row>
    <row r="19" spans="2:8" ht="15" x14ac:dyDescent="0.35">
      <c r="B19" s="22">
        <v>0</v>
      </c>
      <c r="C19" s="17" t="s">
        <v>50</v>
      </c>
      <c r="D19" s="17" t="s">
        <v>20</v>
      </c>
      <c r="E19" s="18" t="s">
        <v>33</v>
      </c>
      <c r="F19" s="18" t="s">
        <v>11</v>
      </c>
      <c r="G19" s="17" t="s">
        <v>58</v>
      </c>
      <c r="H19" s="19" t="s">
        <v>59</v>
      </c>
    </row>
    <row r="20" spans="2:8" ht="15" x14ac:dyDescent="0.35">
      <c r="B20" s="22">
        <v>0</v>
      </c>
      <c r="C20" s="17" t="s">
        <v>50</v>
      </c>
      <c r="D20" s="17" t="s">
        <v>13</v>
      </c>
      <c r="E20" s="18" t="s">
        <v>17</v>
      </c>
      <c r="F20" s="18" t="s">
        <v>11</v>
      </c>
      <c r="G20" s="17" t="s">
        <v>87</v>
      </c>
      <c r="H20" s="19"/>
    </row>
    <row r="21" spans="2:8" ht="15" x14ac:dyDescent="0.35">
      <c r="B21" s="22">
        <v>1</v>
      </c>
      <c r="C21" s="17" t="s">
        <v>50</v>
      </c>
      <c r="D21" s="17" t="s">
        <v>7</v>
      </c>
      <c r="E21" s="18" t="s">
        <v>8</v>
      </c>
      <c r="F21" s="18" t="s">
        <v>21</v>
      </c>
      <c r="G21" s="18" t="s">
        <v>90</v>
      </c>
      <c r="H21" s="19" t="s">
        <v>91</v>
      </c>
    </row>
    <row r="22" spans="2:8" ht="15" x14ac:dyDescent="0.35">
      <c r="B22" s="22">
        <v>1</v>
      </c>
      <c r="C22" s="17" t="s">
        <v>50</v>
      </c>
      <c r="D22" s="17" t="s">
        <v>7</v>
      </c>
      <c r="E22" s="18" t="s">
        <v>8</v>
      </c>
      <c r="F22" s="18" t="s">
        <v>21</v>
      </c>
      <c r="G22" s="18" t="s">
        <v>90</v>
      </c>
      <c r="H22" s="19" t="s">
        <v>92</v>
      </c>
    </row>
    <row r="23" spans="2:8" ht="15" x14ac:dyDescent="0.35">
      <c r="B23" s="22">
        <v>0</v>
      </c>
      <c r="C23" s="17"/>
      <c r="D23" s="17"/>
      <c r="E23" s="18"/>
      <c r="F23" s="18"/>
      <c r="G23" s="17"/>
      <c r="H23" s="19"/>
    </row>
    <row r="24" spans="2:8" ht="15" x14ac:dyDescent="0.35">
      <c r="B24" s="22">
        <v>0</v>
      </c>
      <c r="C24" s="17"/>
      <c r="D24" s="17"/>
      <c r="E24" s="18"/>
      <c r="F24" s="18"/>
      <c r="G24" s="17"/>
      <c r="H24" s="19"/>
    </row>
    <row r="25" spans="2:8" ht="15" x14ac:dyDescent="0.35">
      <c r="B25" s="22">
        <v>0</v>
      </c>
      <c r="C25" s="17"/>
      <c r="D25" s="17"/>
      <c r="E25" s="18"/>
      <c r="F25" s="18"/>
      <c r="G25" s="17"/>
      <c r="H25" s="19"/>
    </row>
    <row r="26" spans="2:8" ht="15" x14ac:dyDescent="0.35">
      <c r="B26" s="22">
        <v>0</v>
      </c>
      <c r="C26" s="17"/>
      <c r="D26" s="17"/>
      <c r="E26" s="18"/>
      <c r="F26" s="18"/>
      <c r="G26" s="17"/>
      <c r="H26" s="19"/>
    </row>
    <row r="27" spans="2:8" ht="15" x14ac:dyDescent="0.35">
      <c r="B27" s="22">
        <v>0</v>
      </c>
      <c r="C27" s="17"/>
      <c r="D27" s="17"/>
      <c r="E27" s="18"/>
      <c r="F27" s="18"/>
      <c r="G27" s="17"/>
      <c r="H27" s="19"/>
    </row>
    <row r="28" spans="2:8" ht="15" x14ac:dyDescent="0.35">
      <c r="B28" s="22">
        <v>0</v>
      </c>
      <c r="C28" s="17"/>
      <c r="D28" s="17"/>
      <c r="E28" s="18"/>
      <c r="F28" s="18"/>
      <c r="G28" s="18"/>
      <c r="H28" s="19"/>
    </row>
    <row r="29" spans="2:8" ht="15" x14ac:dyDescent="0.35">
      <c r="B29" s="22">
        <v>0</v>
      </c>
      <c r="C29" s="17"/>
      <c r="D29" s="17"/>
      <c r="E29" s="18"/>
      <c r="F29" s="18"/>
      <c r="G29" s="18"/>
      <c r="H29" s="19"/>
    </row>
    <row r="30" spans="2:8" ht="15" x14ac:dyDescent="0.35">
      <c r="B30" s="22">
        <v>0</v>
      </c>
      <c r="C30" s="17"/>
      <c r="D30" s="17"/>
      <c r="E30" s="18"/>
      <c r="F30" s="18"/>
      <c r="G30" s="17"/>
      <c r="H30" s="19"/>
    </row>
    <row r="31" spans="2:8" ht="15" x14ac:dyDescent="0.35">
      <c r="B31" s="22">
        <v>0</v>
      </c>
      <c r="C31" s="17"/>
      <c r="D31" s="17"/>
      <c r="E31" s="18"/>
      <c r="F31" s="18"/>
      <c r="G31" s="17"/>
      <c r="H31" s="19"/>
    </row>
    <row r="32" spans="2:8" ht="15" x14ac:dyDescent="0.35">
      <c r="B32" s="22">
        <v>0</v>
      </c>
      <c r="C32" s="17"/>
      <c r="D32" s="17"/>
      <c r="E32" s="18"/>
      <c r="F32" s="18"/>
      <c r="G32" s="17"/>
      <c r="H32" s="19"/>
    </row>
    <row r="33" spans="2:8" ht="15" x14ac:dyDescent="0.35">
      <c r="B33" s="22">
        <v>0</v>
      </c>
      <c r="C33" s="17"/>
      <c r="D33" s="17"/>
      <c r="E33" s="18"/>
      <c r="F33" s="18"/>
      <c r="G33" s="17"/>
      <c r="H33" s="19"/>
    </row>
    <row r="34" spans="2:8" ht="15" x14ac:dyDescent="0.35">
      <c r="B34" s="22">
        <v>0</v>
      </c>
      <c r="C34" s="17"/>
      <c r="D34" s="17"/>
      <c r="E34" s="18"/>
      <c r="F34" s="18"/>
      <c r="G34" s="17"/>
      <c r="H34" s="19"/>
    </row>
    <row r="35" spans="2:8" ht="15" x14ac:dyDescent="0.35">
      <c r="B35" s="22">
        <v>0</v>
      </c>
      <c r="C35" s="17"/>
      <c r="D35" s="17"/>
      <c r="E35" s="18"/>
      <c r="F35" s="18"/>
      <c r="G35" s="17"/>
      <c r="H35" s="19"/>
    </row>
    <row r="36" spans="2:8" ht="15" customHeight="1" x14ac:dyDescent="0.35">
      <c r="B36" s="22">
        <v>0</v>
      </c>
      <c r="C36" s="17"/>
      <c r="D36" s="17"/>
      <c r="E36" s="18"/>
      <c r="F36" s="18"/>
      <c r="G36" s="17"/>
      <c r="H36" s="19"/>
    </row>
    <row r="37" spans="2:8" ht="15" customHeight="1" x14ac:dyDescent="0.35">
      <c r="B37" s="22">
        <v>0</v>
      </c>
      <c r="C37" s="17"/>
      <c r="D37" s="17"/>
      <c r="E37" s="18"/>
      <c r="F37" s="18"/>
      <c r="G37" s="17"/>
      <c r="H37" s="19"/>
    </row>
    <row r="38" spans="2:8" ht="15" customHeight="1" x14ac:dyDescent="0.35">
      <c r="B38" s="22">
        <v>0</v>
      </c>
      <c r="C38" s="17"/>
      <c r="D38" s="17"/>
      <c r="E38" s="18"/>
      <c r="F38" s="18"/>
      <c r="G38" s="18"/>
      <c r="H38" s="19"/>
    </row>
    <row r="39" spans="2:8" ht="15" customHeight="1" x14ac:dyDescent="0.35">
      <c r="B39" s="22">
        <v>0</v>
      </c>
      <c r="C39" s="17"/>
      <c r="D39" s="17"/>
      <c r="E39" s="18"/>
      <c r="F39" s="18"/>
      <c r="G39" s="18"/>
      <c r="H39" s="19"/>
    </row>
    <row r="40" spans="2:8" ht="15" customHeight="1" x14ac:dyDescent="0.35">
      <c r="B40" s="22">
        <v>0</v>
      </c>
      <c r="C40" s="17"/>
      <c r="D40" s="17"/>
      <c r="E40" s="18"/>
      <c r="F40" s="18"/>
      <c r="G40" s="18"/>
      <c r="H40" s="19"/>
    </row>
    <row r="41" spans="2:8" ht="15" customHeight="1" x14ac:dyDescent="0.35">
      <c r="B41" s="22">
        <v>0</v>
      </c>
      <c r="C41" s="17"/>
      <c r="D41" s="17"/>
      <c r="E41" s="18"/>
      <c r="F41" s="18"/>
      <c r="G41" s="18"/>
      <c r="H41" s="19"/>
    </row>
    <row r="42" spans="2:8" ht="15" customHeight="1" x14ac:dyDescent="0.35">
      <c r="B42" s="22">
        <v>0</v>
      </c>
      <c r="C42" s="17"/>
      <c r="D42" s="17"/>
      <c r="E42" s="18"/>
      <c r="F42" s="18"/>
      <c r="G42" s="18"/>
      <c r="H42" s="19"/>
    </row>
    <row r="43" spans="2:8" ht="15" customHeight="1" x14ac:dyDescent="0.35">
      <c r="B43" s="22">
        <v>0</v>
      </c>
      <c r="C43" s="17"/>
      <c r="D43" s="17"/>
      <c r="E43" s="18"/>
      <c r="F43" s="18"/>
      <c r="G43" s="18"/>
      <c r="H43" s="19"/>
    </row>
    <row r="44" spans="2:8" ht="15" customHeight="1" x14ac:dyDescent="0.35">
      <c r="B44" s="22">
        <v>0</v>
      </c>
      <c r="C44" s="17"/>
      <c r="D44" s="17"/>
      <c r="E44" s="18"/>
      <c r="F44" s="18"/>
      <c r="G44" s="18"/>
      <c r="H44" s="19"/>
    </row>
    <row r="45" spans="2:8" ht="15" customHeight="1" x14ac:dyDescent="0.35">
      <c r="B45" s="22">
        <v>0</v>
      </c>
      <c r="C45" s="17"/>
      <c r="D45" s="17"/>
      <c r="E45" s="18"/>
      <c r="F45" s="18"/>
      <c r="G45" s="18"/>
      <c r="H45" s="19"/>
    </row>
    <row r="46" spans="2:8" ht="15" customHeight="1" x14ac:dyDescent="0.35">
      <c r="B46" s="22">
        <v>0</v>
      </c>
      <c r="C46" s="17"/>
      <c r="D46" s="17"/>
      <c r="E46" s="18"/>
      <c r="F46" s="18"/>
      <c r="G46" s="18"/>
      <c r="H46" s="19"/>
    </row>
    <row r="47" spans="2:8" ht="15" customHeight="1" x14ac:dyDescent="0.35">
      <c r="B47" s="22">
        <v>0</v>
      </c>
      <c r="C47" s="17"/>
      <c r="D47" s="17"/>
      <c r="E47" s="18"/>
      <c r="F47" s="18"/>
      <c r="G47" s="18"/>
      <c r="H47" s="19"/>
    </row>
    <row r="48" spans="2:8" ht="15" customHeight="1" x14ac:dyDescent="0.35">
      <c r="B48" s="22">
        <v>0</v>
      </c>
      <c r="C48" s="17"/>
      <c r="D48" s="17"/>
      <c r="E48" s="18"/>
      <c r="F48" s="18"/>
      <c r="G48" s="18"/>
      <c r="H48" s="19"/>
    </row>
    <row r="49" spans="2:8" ht="15" customHeight="1" x14ac:dyDescent="0.35">
      <c r="B49" s="22">
        <v>0</v>
      </c>
      <c r="C49" s="17"/>
      <c r="D49" s="17"/>
      <c r="E49" s="18"/>
      <c r="F49" s="18"/>
      <c r="G49" s="18"/>
      <c r="H49" s="19"/>
    </row>
    <row r="50" spans="2:8" ht="15" customHeight="1" x14ac:dyDescent="0.35">
      <c r="B50" s="22">
        <v>0</v>
      </c>
      <c r="C50" s="17"/>
      <c r="D50" s="17"/>
      <c r="E50" s="18"/>
      <c r="F50" s="18"/>
      <c r="G50" s="18"/>
      <c r="H50" s="19"/>
    </row>
    <row r="51" spans="2:8" ht="15" customHeight="1" x14ac:dyDescent="0.35">
      <c r="B51" s="22">
        <v>0</v>
      </c>
      <c r="C51" s="17"/>
      <c r="D51" s="17"/>
      <c r="E51" s="18"/>
      <c r="F51" s="18"/>
      <c r="G51" s="18"/>
      <c r="H51" s="19"/>
    </row>
    <row r="52" spans="2:8" ht="15" customHeight="1" x14ac:dyDescent="0.35">
      <c r="B52" s="22">
        <v>0</v>
      </c>
      <c r="C52" s="17"/>
      <c r="D52" s="17"/>
      <c r="E52" s="18"/>
      <c r="F52" s="18"/>
      <c r="G52" s="18"/>
      <c r="H52" s="19"/>
    </row>
    <row r="53" spans="2:8" ht="15" customHeight="1" x14ac:dyDescent="0.35">
      <c r="B53" s="22">
        <v>0</v>
      </c>
      <c r="C53" s="17"/>
      <c r="D53" s="17"/>
      <c r="E53" s="18"/>
      <c r="F53" s="18"/>
      <c r="G53" s="18"/>
      <c r="H53" s="19"/>
    </row>
    <row r="54" spans="2:8" ht="15" customHeight="1" x14ac:dyDescent="0.35">
      <c r="B54" s="22">
        <v>0</v>
      </c>
      <c r="C54" s="17"/>
      <c r="D54" s="17"/>
      <c r="E54" s="18"/>
      <c r="F54" s="18"/>
      <c r="G54" s="18"/>
      <c r="H54" s="19"/>
    </row>
    <row r="55" spans="2:8" ht="15" customHeight="1" x14ac:dyDescent="0.35">
      <c r="B55" s="22">
        <v>0</v>
      </c>
      <c r="C55" s="17"/>
      <c r="D55" s="17"/>
      <c r="E55" s="18"/>
      <c r="F55" s="18"/>
      <c r="G55" s="18"/>
      <c r="H55" s="19"/>
    </row>
    <row r="56" spans="2:8" ht="15" customHeight="1" x14ac:dyDescent="0.35">
      <c r="B56" s="22">
        <v>0</v>
      </c>
      <c r="C56" s="17"/>
      <c r="D56" s="17"/>
      <c r="E56" s="18"/>
      <c r="F56" s="18"/>
      <c r="G56" s="18"/>
      <c r="H56" s="19"/>
    </row>
    <row r="57" spans="2:8" ht="15" customHeight="1" x14ac:dyDescent="0.35">
      <c r="B57" s="22">
        <v>0</v>
      </c>
      <c r="C57" s="17"/>
      <c r="D57" s="17"/>
      <c r="E57" s="18"/>
      <c r="F57" s="18"/>
      <c r="G57" s="18"/>
      <c r="H57" s="19"/>
    </row>
    <row r="58" spans="2:8" ht="15" customHeight="1" x14ac:dyDescent="0.35">
      <c r="B58" s="22">
        <v>0</v>
      </c>
      <c r="C58" s="17"/>
      <c r="D58" s="17"/>
      <c r="E58" s="18"/>
      <c r="F58" s="18"/>
      <c r="G58" s="18"/>
      <c r="H58" s="19"/>
    </row>
    <row r="59" spans="2:8" ht="15" customHeight="1" x14ac:dyDescent="0.35">
      <c r="B59" s="22">
        <v>0</v>
      </c>
      <c r="C59" s="17"/>
      <c r="D59" s="17"/>
      <c r="E59" s="18"/>
      <c r="F59" s="18"/>
      <c r="G59" s="18"/>
      <c r="H59" s="19"/>
    </row>
    <row r="60" spans="2:8" ht="15" customHeight="1" x14ac:dyDescent="0.35">
      <c r="B60" s="22">
        <v>0</v>
      </c>
      <c r="C60" s="17"/>
      <c r="D60" s="17"/>
      <c r="E60" s="18"/>
      <c r="F60" s="18"/>
      <c r="G60" s="18"/>
      <c r="H60" s="19"/>
    </row>
    <row r="61" spans="2:8" ht="15" customHeight="1" x14ac:dyDescent="0.35">
      <c r="B61" s="22">
        <v>0</v>
      </c>
      <c r="C61" s="17"/>
      <c r="D61" s="17"/>
      <c r="E61" s="18"/>
      <c r="F61" s="18"/>
      <c r="G61" s="18"/>
      <c r="H61" s="19"/>
    </row>
    <row r="62" spans="2:8" ht="15" customHeight="1" x14ac:dyDescent="0.35">
      <c r="B62" s="22">
        <v>0</v>
      </c>
      <c r="C62" s="17"/>
      <c r="D62" s="17"/>
      <c r="E62" s="18"/>
      <c r="F62" s="18"/>
      <c r="G62" s="18"/>
      <c r="H62" s="19"/>
    </row>
    <row r="63" spans="2:8" ht="15" customHeight="1" x14ac:dyDescent="0.35">
      <c r="B63" s="22">
        <v>0</v>
      </c>
      <c r="C63" s="17"/>
      <c r="D63" s="17"/>
      <c r="E63" s="18"/>
      <c r="F63" s="18"/>
      <c r="G63" s="18"/>
      <c r="H63" s="19"/>
    </row>
    <row r="64" spans="2:8" ht="15" customHeight="1" x14ac:dyDescent="0.35">
      <c r="B64" s="22">
        <v>0</v>
      </c>
      <c r="C64" s="17"/>
      <c r="D64" s="17"/>
      <c r="E64" s="18"/>
      <c r="F64" s="18"/>
      <c r="G64" s="18"/>
      <c r="H64" s="19"/>
    </row>
    <row r="65" spans="2:8" ht="15" customHeight="1" x14ac:dyDescent="0.35">
      <c r="B65" s="22">
        <v>0</v>
      </c>
      <c r="C65" s="17"/>
      <c r="D65" s="17"/>
      <c r="E65" s="18"/>
      <c r="F65" s="18"/>
      <c r="G65" s="18"/>
      <c r="H65" s="19"/>
    </row>
    <row r="66" spans="2:8" ht="15" customHeight="1" x14ac:dyDescent="0.35">
      <c r="B66" s="22">
        <v>0</v>
      </c>
      <c r="C66" s="17"/>
      <c r="D66" s="17"/>
      <c r="E66" s="18"/>
      <c r="F66" s="18"/>
      <c r="G66" s="18"/>
      <c r="H66" s="19"/>
    </row>
    <row r="67" spans="2:8" ht="15" customHeight="1" x14ac:dyDescent="0.35">
      <c r="B67" s="22">
        <v>0</v>
      </c>
      <c r="C67" s="17"/>
      <c r="D67" s="17"/>
      <c r="E67" s="18"/>
      <c r="F67" s="18"/>
      <c r="G67" s="18"/>
      <c r="H67" s="19"/>
    </row>
    <row r="68" spans="2:8" ht="15" customHeight="1" x14ac:dyDescent="0.35">
      <c r="B68" s="22">
        <v>0</v>
      </c>
      <c r="C68" s="17"/>
      <c r="D68" s="17"/>
      <c r="E68" s="18"/>
      <c r="F68" s="18"/>
      <c r="G68" s="18"/>
      <c r="H68" s="19"/>
    </row>
    <row r="69" spans="2:8" ht="15" customHeight="1" x14ac:dyDescent="0.35">
      <c r="B69" s="22">
        <v>0</v>
      </c>
      <c r="C69" s="17"/>
      <c r="D69" s="17"/>
      <c r="E69" s="18"/>
      <c r="F69" s="18"/>
      <c r="G69" s="18"/>
      <c r="H69" s="19"/>
    </row>
    <row r="70" spans="2:8" ht="15" customHeight="1" x14ac:dyDescent="0.35">
      <c r="B70" s="22">
        <v>0</v>
      </c>
      <c r="C70" s="17"/>
      <c r="D70" s="17"/>
      <c r="E70" s="18"/>
      <c r="F70" s="18"/>
      <c r="G70" s="18"/>
      <c r="H70" s="19"/>
    </row>
    <row r="71" spans="2:8" ht="15" customHeight="1" x14ac:dyDescent="0.35">
      <c r="B71" s="22">
        <v>0</v>
      </c>
      <c r="C71" s="17"/>
      <c r="D71" s="17"/>
      <c r="E71" s="18"/>
      <c r="F71" s="18"/>
      <c r="G71" s="18"/>
      <c r="H71" s="19"/>
    </row>
    <row r="72" spans="2:8" ht="15" customHeight="1" x14ac:dyDescent="0.35">
      <c r="B72" s="22">
        <v>0</v>
      </c>
      <c r="C72" s="17"/>
      <c r="D72" s="17"/>
      <c r="E72" s="18"/>
      <c r="F72" s="18"/>
      <c r="G72" s="18"/>
      <c r="H72" s="19"/>
    </row>
    <row r="73" spans="2:8" ht="15" customHeight="1" x14ac:dyDescent="0.35">
      <c r="B73" s="22">
        <v>0</v>
      </c>
      <c r="C73" s="17"/>
      <c r="D73" s="17"/>
      <c r="E73" s="18"/>
      <c r="F73" s="18"/>
      <c r="G73" s="18"/>
      <c r="H73" s="19"/>
    </row>
    <row r="74" spans="2:8" ht="15" customHeight="1" x14ac:dyDescent="0.35">
      <c r="B74" s="22">
        <v>0</v>
      </c>
      <c r="C74" s="17"/>
      <c r="D74" s="17"/>
      <c r="E74" s="18"/>
      <c r="F74" s="18"/>
      <c r="G74" s="18"/>
      <c r="H74" s="19"/>
    </row>
    <row r="75" spans="2:8" ht="15" customHeight="1" x14ac:dyDescent="0.35">
      <c r="B75" s="22">
        <v>0</v>
      </c>
      <c r="C75" s="17"/>
      <c r="D75" s="17"/>
      <c r="E75" s="18"/>
      <c r="F75" s="18"/>
      <c r="G75" s="18"/>
      <c r="H75" s="19"/>
    </row>
    <row r="76" spans="2:8" ht="15" customHeight="1" x14ac:dyDescent="0.35">
      <c r="B76" s="22">
        <v>0</v>
      </c>
      <c r="C76" s="17"/>
      <c r="D76" s="17"/>
      <c r="E76" s="18"/>
      <c r="F76" s="18"/>
      <c r="G76" s="18"/>
      <c r="H76" s="19"/>
    </row>
    <row r="77" spans="2:8" ht="15" customHeight="1" x14ac:dyDescent="0.35">
      <c r="B77" s="22">
        <v>0</v>
      </c>
      <c r="C77" s="17"/>
      <c r="D77" s="17"/>
      <c r="E77" s="18"/>
      <c r="F77" s="18"/>
      <c r="G77" s="18"/>
      <c r="H77" s="19"/>
    </row>
    <row r="78" spans="2:8" ht="15" customHeight="1" x14ac:dyDescent="0.35">
      <c r="B78" s="22">
        <v>0</v>
      </c>
      <c r="C78" s="17"/>
      <c r="D78" s="17"/>
      <c r="E78" s="18"/>
      <c r="F78" s="18"/>
      <c r="G78" s="18"/>
      <c r="H78" s="19"/>
    </row>
    <row r="79" spans="2:8" ht="15" customHeight="1" x14ac:dyDescent="0.35">
      <c r="B79" s="22">
        <v>0</v>
      </c>
      <c r="C79" s="17"/>
      <c r="D79" s="17"/>
      <c r="E79" s="18"/>
      <c r="F79" s="18"/>
      <c r="G79" s="18"/>
      <c r="H79" s="19"/>
    </row>
    <row r="80" spans="2:8" ht="15" customHeight="1" x14ac:dyDescent="0.35">
      <c r="B80" s="22">
        <v>0</v>
      </c>
      <c r="C80" s="17"/>
      <c r="D80" s="17"/>
      <c r="E80" s="18"/>
      <c r="F80" s="18"/>
      <c r="G80" s="18"/>
      <c r="H80" s="19"/>
    </row>
    <row r="81" spans="2:8" ht="15" customHeight="1" x14ac:dyDescent="0.35">
      <c r="B81" s="22">
        <v>0</v>
      </c>
      <c r="C81" s="17"/>
      <c r="D81" s="17"/>
      <c r="E81" s="18"/>
      <c r="F81" s="18"/>
      <c r="G81" s="18"/>
      <c r="H81" s="19"/>
    </row>
    <row r="82" spans="2:8" ht="15" customHeight="1" x14ac:dyDescent="0.35">
      <c r="B82" s="22">
        <v>0</v>
      </c>
      <c r="C82" s="17"/>
      <c r="D82" s="17"/>
      <c r="E82" s="18"/>
      <c r="F82" s="18"/>
      <c r="G82" s="18"/>
      <c r="H82" s="19"/>
    </row>
    <row r="83" spans="2:8" ht="15" customHeight="1" x14ac:dyDescent="0.35">
      <c r="B83" s="22">
        <v>0</v>
      </c>
      <c r="C83" s="17"/>
      <c r="D83" s="17"/>
      <c r="E83" s="18"/>
      <c r="F83" s="18"/>
      <c r="G83" s="18"/>
      <c r="H83" s="19"/>
    </row>
    <row r="84" spans="2:8" ht="15" customHeight="1" x14ac:dyDescent="0.35">
      <c r="B84" s="22">
        <v>0</v>
      </c>
      <c r="C84" s="17"/>
      <c r="D84" s="17"/>
      <c r="E84" s="18"/>
      <c r="F84" s="18"/>
      <c r="G84" s="18"/>
      <c r="H84" s="19"/>
    </row>
    <row r="85" spans="2:8" ht="15" customHeight="1" x14ac:dyDescent="0.35">
      <c r="B85" s="22">
        <v>0</v>
      </c>
      <c r="C85" s="17"/>
      <c r="D85" s="17"/>
      <c r="E85" s="18"/>
      <c r="F85" s="18"/>
      <c r="G85" s="18"/>
      <c r="H85" s="19"/>
    </row>
    <row r="86" spans="2:8" ht="15" customHeight="1" x14ac:dyDescent="0.35">
      <c r="B86" s="22">
        <v>0</v>
      </c>
      <c r="C86" s="17"/>
      <c r="D86" s="17"/>
      <c r="E86" s="18"/>
      <c r="F86" s="18"/>
      <c r="G86" s="18"/>
      <c r="H86" s="19"/>
    </row>
    <row r="87" spans="2:8" ht="15" customHeight="1" x14ac:dyDescent="0.35">
      <c r="B87" s="22">
        <v>0</v>
      </c>
      <c r="C87" s="17"/>
      <c r="D87" s="17"/>
      <c r="E87" s="18"/>
      <c r="F87" s="18"/>
      <c r="G87" s="18"/>
      <c r="H87" s="19"/>
    </row>
    <row r="88" spans="2:8" ht="15" customHeight="1" x14ac:dyDescent="0.35">
      <c r="B88" s="22">
        <v>0</v>
      </c>
      <c r="C88" s="17"/>
      <c r="D88" s="17"/>
      <c r="E88" s="18"/>
      <c r="F88" s="18"/>
      <c r="G88" s="18"/>
      <c r="H88" s="19"/>
    </row>
    <row r="89" spans="2:8" ht="15" customHeight="1" x14ac:dyDescent="0.35">
      <c r="B89" s="22">
        <v>0</v>
      </c>
      <c r="C89" s="17"/>
      <c r="D89" s="17"/>
      <c r="E89" s="18"/>
      <c r="F89" s="18"/>
      <c r="G89" s="18"/>
      <c r="H89" s="19"/>
    </row>
    <row r="90" spans="2:8" ht="15" customHeight="1" x14ac:dyDescent="0.35">
      <c r="B90" s="22">
        <v>0</v>
      </c>
      <c r="C90" s="17"/>
      <c r="D90" s="17"/>
      <c r="E90" s="18"/>
      <c r="F90" s="18"/>
      <c r="G90" s="18"/>
      <c r="H90" s="19"/>
    </row>
    <row r="91" spans="2:8" ht="15" customHeight="1" x14ac:dyDescent="0.35">
      <c r="B91" s="22">
        <v>0</v>
      </c>
      <c r="C91" s="17"/>
      <c r="D91" s="17"/>
      <c r="E91" s="18"/>
      <c r="F91" s="18"/>
      <c r="G91" s="18"/>
      <c r="H91" s="19"/>
    </row>
    <row r="92" spans="2:8" ht="15" customHeight="1" x14ac:dyDescent="0.35">
      <c r="B92" s="22">
        <v>0</v>
      </c>
      <c r="C92" s="17"/>
      <c r="D92" s="17"/>
      <c r="E92" s="18"/>
      <c r="F92" s="18"/>
      <c r="G92" s="18"/>
      <c r="H92" s="19"/>
    </row>
    <row r="93" spans="2:8" ht="15" customHeight="1" x14ac:dyDescent="0.35">
      <c r="B93" s="22">
        <v>0</v>
      </c>
      <c r="C93" s="17"/>
      <c r="D93" s="17"/>
      <c r="E93" s="18"/>
      <c r="F93" s="18"/>
      <c r="G93" s="18"/>
      <c r="H93" s="19"/>
    </row>
    <row r="94" spans="2:8" ht="15" customHeight="1" x14ac:dyDescent="0.35">
      <c r="B94" s="22">
        <v>0</v>
      </c>
      <c r="C94" s="17"/>
      <c r="D94" s="17"/>
      <c r="E94" s="18"/>
      <c r="F94" s="18"/>
      <c r="G94" s="18"/>
      <c r="H94" s="19"/>
    </row>
    <row r="95" spans="2:8" ht="15" customHeight="1" x14ac:dyDescent="0.35">
      <c r="B95" s="22">
        <v>0</v>
      </c>
      <c r="C95" s="17"/>
      <c r="D95" s="17"/>
      <c r="E95" s="18"/>
      <c r="F95" s="18"/>
      <c r="G95" s="18"/>
      <c r="H95" s="19"/>
    </row>
    <row r="96" spans="2:8" ht="15" customHeight="1" x14ac:dyDescent="0.35">
      <c r="B96" s="22">
        <v>0</v>
      </c>
      <c r="C96" s="17"/>
      <c r="D96" s="17"/>
      <c r="E96" s="18"/>
      <c r="F96" s="18"/>
      <c r="G96" s="18"/>
      <c r="H96" s="19"/>
    </row>
    <row r="97" spans="2:8" ht="15" customHeight="1" x14ac:dyDescent="0.35">
      <c r="B97" s="22">
        <v>0</v>
      </c>
      <c r="C97" s="17"/>
      <c r="D97" s="17"/>
      <c r="E97" s="18"/>
      <c r="F97" s="18"/>
      <c r="G97" s="18"/>
      <c r="H97" s="19"/>
    </row>
    <row r="98" spans="2:8" ht="15" customHeight="1" x14ac:dyDescent="0.35">
      <c r="B98" s="22">
        <v>0</v>
      </c>
      <c r="C98" s="17"/>
      <c r="D98" s="17"/>
      <c r="E98" s="18"/>
      <c r="F98" s="18"/>
      <c r="G98" s="18"/>
      <c r="H98" s="19"/>
    </row>
    <row r="99" spans="2:8" ht="15" customHeight="1" x14ac:dyDescent="0.35">
      <c r="B99" s="22">
        <v>0</v>
      </c>
      <c r="C99" s="17"/>
      <c r="D99" s="17"/>
      <c r="E99" s="18"/>
      <c r="F99" s="18"/>
      <c r="G99" s="18"/>
      <c r="H99" s="19"/>
    </row>
    <row r="100" spans="2:8" ht="15" customHeight="1" x14ac:dyDescent="0.35">
      <c r="B100" s="22">
        <v>0</v>
      </c>
      <c r="C100" s="17"/>
      <c r="D100" s="17"/>
      <c r="E100" s="18"/>
      <c r="F100" s="18"/>
      <c r="G100" s="18"/>
      <c r="H100" s="19"/>
    </row>
    <row r="101" spans="2:8" ht="15" customHeight="1" x14ac:dyDescent="0.35">
      <c r="B101" s="22">
        <v>0</v>
      </c>
      <c r="C101" s="17"/>
      <c r="D101" s="17"/>
      <c r="E101" s="18"/>
      <c r="F101" s="18"/>
      <c r="G101" s="18"/>
      <c r="H101" s="19"/>
    </row>
    <row r="102" spans="2:8" ht="15" customHeight="1" x14ac:dyDescent="0.35">
      <c r="B102" s="22">
        <v>0</v>
      </c>
      <c r="C102" s="17"/>
      <c r="D102" s="17"/>
      <c r="E102" s="18"/>
      <c r="F102" s="18"/>
      <c r="G102" s="18"/>
      <c r="H102" s="19"/>
    </row>
    <row r="103" spans="2:8" ht="15" customHeight="1" x14ac:dyDescent="0.35">
      <c r="B103" s="22">
        <v>0</v>
      </c>
      <c r="C103" s="17"/>
      <c r="D103" s="17"/>
      <c r="E103" s="18"/>
      <c r="F103" s="18"/>
      <c r="G103" s="18"/>
      <c r="H103" s="19"/>
    </row>
    <row r="104" spans="2:8" ht="15" customHeight="1" x14ac:dyDescent="0.35">
      <c r="B104" s="22">
        <v>0</v>
      </c>
      <c r="C104" s="17"/>
      <c r="D104" s="17"/>
      <c r="E104" s="18"/>
      <c r="F104" s="18"/>
      <c r="G104" s="18"/>
      <c r="H104" s="19"/>
    </row>
    <row r="105" spans="2:8" ht="15" customHeight="1" x14ac:dyDescent="0.35">
      <c r="B105" s="22">
        <v>0</v>
      </c>
      <c r="C105" s="17"/>
      <c r="D105" s="17"/>
      <c r="E105" s="18"/>
      <c r="F105" s="18"/>
      <c r="G105" s="18"/>
      <c r="H105" s="19"/>
    </row>
    <row r="106" spans="2:8" ht="15" customHeight="1" x14ac:dyDescent="0.35">
      <c r="B106" s="22">
        <v>0</v>
      </c>
      <c r="C106" s="17"/>
      <c r="D106" s="17"/>
      <c r="E106" s="18"/>
      <c r="F106" s="18"/>
      <c r="G106" s="18"/>
      <c r="H106" s="19"/>
    </row>
    <row r="107" spans="2:8" ht="15" customHeight="1" x14ac:dyDescent="0.35">
      <c r="B107" s="22">
        <v>0</v>
      </c>
      <c r="C107" s="17"/>
      <c r="D107" s="17"/>
      <c r="E107" s="18"/>
      <c r="F107" s="18"/>
      <c r="G107" s="18"/>
      <c r="H107" s="19"/>
    </row>
    <row r="108" spans="2:8" ht="15" customHeight="1" x14ac:dyDescent="0.35">
      <c r="B108" s="22">
        <v>0</v>
      </c>
      <c r="C108" s="17"/>
      <c r="D108" s="17"/>
      <c r="E108" s="18"/>
      <c r="F108" s="18"/>
      <c r="G108" s="18"/>
      <c r="H108" s="19"/>
    </row>
    <row r="109" spans="2:8" ht="15" customHeight="1" x14ac:dyDescent="0.35">
      <c r="B109" s="22">
        <v>0</v>
      </c>
      <c r="C109" s="17"/>
      <c r="D109" s="17"/>
      <c r="E109" s="18"/>
      <c r="F109" s="18"/>
      <c r="G109" s="18"/>
      <c r="H109" s="19"/>
    </row>
    <row r="110" spans="2:8" ht="15" customHeight="1" x14ac:dyDescent="0.35">
      <c r="B110" s="22">
        <v>0</v>
      </c>
      <c r="C110" s="17"/>
      <c r="D110" s="17"/>
      <c r="E110" s="18"/>
      <c r="F110" s="18"/>
      <c r="G110" s="18"/>
      <c r="H110" s="19"/>
    </row>
    <row r="111" spans="2:8" ht="15" customHeight="1" x14ac:dyDescent="0.35">
      <c r="B111" s="22">
        <v>0</v>
      </c>
      <c r="C111" s="17"/>
      <c r="D111" s="17"/>
      <c r="E111" s="18"/>
      <c r="F111" s="18"/>
      <c r="G111" s="18"/>
      <c r="H111" s="19"/>
    </row>
    <row r="112" spans="2:8" ht="15" customHeight="1" x14ac:dyDescent="0.35">
      <c r="B112" s="22">
        <v>0</v>
      </c>
      <c r="C112" s="17"/>
      <c r="D112" s="17"/>
      <c r="E112" s="18"/>
      <c r="F112" s="18"/>
      <c r="G112" s="18"/>
      <c r="H112" s="19"/>
    </row>
    <row r="113" spans="2:8" ht="15" customHeight="1" x14ac:dyDescent="0.35">
      <c r="B113" s="22">
        <v>0</v>
      </c>
      <c r="C113" s="17"/>
      <c r="D113" s="17"/>
      <c r="E113" s="18"/>
      <c r="F113" s="18"/>
      <c r="G113" s="18"/>
      <c r="H113" s="19"/>
    </row>
    <row r="114" spans="2:8" ht="15" customHeight="1" x14ac:dyDescent="0.35">
      <c r="B114" s="22">
        <v>0</v>
      </c>
      <c r="C114" s="17"/>
      <c r="D114" s="17"/>
      <c r="E114" s="18"/>
      <c r="F114" s="18"/>
      <c r="G114" s="18"/>
      <c r="H114" s="19"/>
    </row>
    <row r="115" spans="2:8" ht="15" customHeight="1" x14ac:dyDescent="0.35">
      <c r="B115" s="22">
        <v>0</v>
      </c>
      <c r="C115" s="17"/>
      <c r="D115" s="17"/>
      <c r="E115" s="18"/>
      <c r="F115" s="18"/>
      <c r="G115" s="18"/>
      <c r="H115" s="19"/>
    </row>
    <row r="116" spans="2:8" ht="15" customHeight="1" x14ac:dyDescent="0.35">
      <c r="B116" s="22">
        <v>0</v>
      </c>
      <c r="C116" s="17"/>
      <c r="D116" s="17"/>
      <c r="E116" s="18"/>
      <c r="F116" s="18"/>
      <c r="G116" s="18"/>
      <c r="H116" s="19"/>
    </row>
    <row r="117" spans="2:8" ht="15" customHeight="1" x14ac:dyDescent="0.35">
      <c r="B117" s="22">
        <v>0</v>
      </c>
      <c r="C117" s="17"/>
      <c r="D117" s="17"/>
      <c r="E117" s="18"/>
      <c r="F117" s="18"/>
      <c r="G117" s="18"/>
      <c r="H117" s="19"/>
    </row>
    <row r="118" spans="2:8" ht="15" customHeight="1" x14ac:dyDescent="0.35">
      <c r="B118" s="22">
        <v>0</v>
      </c>
      <c r="C118" s="17"/>
      <c r="D118" s="17"/>
      <c r="E118" s="18"/>
      <c r="F118" s="18"/>
      <c r="G118" s="18"/>
      <c r="H118" s="19"/>
    </row>
    <row r="119" spans="2:8" ht="15" customHeight="1" x14ac:dyDescent="0.35">
      <c r="B119" s="22">
        <v>0</v>
      </c>
      <c r="C119" s="17"/>
      <c r="D119" s="17"/>
      <c r="E119" s="18"/>
      <c r="F119" s="18"/>
      <c r="G119" s="18"/>
      <c r="H119" s="19"/>
    </row>
    <row r="120" spans="2:8" ht="15" customHeight="1" x14ac:dyDescent="0.35">
      <c r="B120" s="22">
        <v>0</v>
      </c>
      <c r="C120" s="17"/>
      <c r="D120" s="17"/>
      <c r="E120" s="18"/>
      <c r="F120" s="18"/>
      <c r="G120" s="18"/>
      <c r="H120" s="19"/>
    </row>
    <row r="121" spans="2:8" ht="15" customHeight="1" x14ac:dyDescent="0.35">
      <c r="B121" s="22">
        <v>0</v>
      </c>
      <c r="C121" s="17"/>
      <c r="D121" s="17"/>
      <c r="E121" s="18"/>
      <c r="F121" s="18"/>
      <c r="G121" s="18"/>
      <c r="H121" s="19"/>
    </row>
    <row r="122" spans="2:8" ht="15" customHeight="1" x14ac:dyDescent="0.35">
      <c r="B122" s="22">
        <v>0</v>
      </c>
      <c r="C122" s="17"/>
      <c r="D122" s="17"/>
      <c r="E122" s="18"/>
      <c r="F122" s="18"/>
      <c r="G122" s="18"/>
      <c r="H122" s="19"/>
    </row>
    <row r="123" spans="2:8" ht="15" customHeight="1" x14ac:dyDescent="0.35">
      <c r="B123" s="22">
        <v>0</v>
      </c>
      <c r="C123" s="17"/>
      <c r="D123" s="17"/>
      <c r="E123" s="18"/>
      <c r="F123" s="18"/>
      <c r="G123" s="18"/>
      <c r="H123" s="19"/>
    </row>
    <row r="124" spans="2:8" ht="15" customHeight="1" x14ac:dyDescent="0.35">
      <c r="B124" s="22">
        <v>0</v>
      </c>
      <c r="C124" s="17"/>
      <c r="D124" s="17"/>
      <c r="E124" s="18"/>
      <c r="F124" s="18"/>
      <c r="G124" s="18"/>
      <c r="H124" s="19"/>
    </row>
    <row r="125" spans="2:8" ht="15" customHeight="1" x14ac:dyDescent="0.35">
      <c r="B125" s="22">
        <v>0</v>
      </c>
      <c r="C125" s="17"/>
      <c r="D125" s="17"/>
      <c r="E125" s="18"/>
      <c r="F125" s="18"/>
      <c r="G125" s="18"/>
      <c r="H125" s="19"/>
    </row>
    <row r="126" spans="2:8" ht="15" customHeight="1" x14ac:dyDescent="0.35">
      <c r="B126" s="22">
        <v>0</v>
      </c>
      <c r="C126" s="17"/>
      <c r="D126" s="17"/>
      <c r="E126" s="18"/>
      <c r="F126" s="18"/>
      <c r="G126" s="18"/>
      <c r="H126" s="19"/>
    </row>
    <row r="127" spans="2:8" ht="15" customHeight="1" x14ac:dyDescent="0.35">
      <c r="B127" s="22">
        <v>0</v>
      </c>
      <c r="C127" s="17"/>
      <c r="D127" s="17"/>
      <c r="E127" s="18"/>
      <c r="F127" s="18"/>
      <c r="G127" s="18"/>
      <c r="H127" s="19"/>
    </row>
    <row r="128" spans="2:8" ht="15" customHeight="1" x14ac:dyDescent="0.35">
      <c r="B128" s="22">
        <v>0</v>
      </c>
      <c r="C128" s="17"/>
      <c r="D128" s="17"/>
      <c r="E128" s="18"/>
      <c r="F128" s="18"/>
      <c r="G128" s="18"/>
      <c r="H128" s="19"/>
    </row>
    <row r="129" spans="2:8" ht="15" customHeight="1" x14ac:dyDescent="0.35">
      <c r="B129" s="22">
        <v>0</v>
      </c>
      <c r="C129" s="17"/>
      <c r="D129" s="17"/>
      <c r="E129" s="18"/>
      <c r="F129" s="18"/>
      <c r="G129" s="18"/>
      <c r="H129" s="19"/>
    </row>
    <row r="130" spans="2:8" ht="15" customHeight="1" x14ac:dyDescent="0.35">
      <c r="B130" s="22">
        <v>0</v>
      </c>
      <c r="C130" s="17"/>
      <c r="D130" s="17"/>
      <c r="E130" s="18"/>
      <c r="F130" s="18"/>
      <c r="G130" s="18"/>
      <c r="H130" s="19"/>
    </row>
    <row r="131" spans="2:8" ht="15" customHeight="1" x14ac:dyDescent="0.35">
      <c r="B131" s="22">
        <v>0</v>
      </c>
      <c r="C131" s="17"/>
      <c r="D131" s="17"/>
      <c r="E131" s="18"/>
      <c r="F131" s="18"/>
      <c r="G131" s="18"/>
      <c r="H131" s="19"/>
    </row>
    <row r="132" spans="2:8" ht="15" customHeight="1" x14ac:dyDescent="0.35">
      <c r="B132" s="22">
        <v>0</v>
      </c>
      <c r="C132" s="17"/>
      <c r="D132" s="17"/>
      <c r="E132" s="18"/>
      <c r="F132" s="18"/>
      <c r="G132" s="18"/>
      <c r="H132" s="19"/>
    </row>
    <row r="133" spans="2:8" ht="15" customHeight="1" x14ac:dyDescent="0.35">
      <c r="B133" s="22">
        <v>0</v>
      </c>
      <c r="C133" s="17"/>
      <c r="D133" s="17"/>
      <c r="E133" s="18"/>
      <c r="F133" s="18"/>
      <c r="G133" s="18"/>
      <c r="H133" s="19"/>
    </row>
    <row r="134" spans="2:8" ht="15" customHeight="1" x14ac:dyDescent="0.35">
      <c r="B134" s="22">
        <v>0</v>
      </c>
      <c r="C134" s="17"/>
      <c r="D134" s="17"/>
      <c r="E134" s="18"/>
      <c r="F134" s="18"/>
      <c r="G134" s="18"/>
      <c r="H134" s="19"/>
    </row>
    <row r="135" spans="2:8" ht="15" customHeight="1" x14ac:dyDescent="0.35">
      <c r="B135" s="22">
        <v>0</v>
      </c>
      <c r="C135" s="17"/>
      <c r="D135" s="17"/>
      <c r="E135" s="18"/>
      <c r="F135" s="18"/>
      <c r="G135" s="18"/>
      <c r="H135" s="19"/>
    </row>
    <row r="136" spans="2:8" ht="15" customHeight="1" x14ac:dyDescent="0.35">
      <c r="B136" s="22">
        <v>0</v>
      </c>
      <c r="C136" s="17"/>
      <c r="D136" s="17"/>
      <c r="E136" s="18"/>
      <c r="F136" s="18"/>
      <c r="G136" s="18"/>
      <c r="H136" s="19"/>
    </row>
    <row r="137" spans="2:8" ht="15" customHeight="1" x14ac:dyDescent="0.35">
      <c r="B137" s="22">
        <v>0</v>
      </c>
      <c r="C137" s="17"/>
      <c r="D137" s="17"/>
      <c r="E137" s="18"/>
      <c r="F137" s="18"/>
      <c r="G137" s="18"/>
      <c r="H137" s="19"/>
    </row>
    <row r="138" spans="2:8" ht="15" customHeight="1" x14ac:dyDescent="0.35">
      <c r="B138" s="22">
        <v>0</v>
      </c>
      <c r="C138" s="17"/>
      <c r="D138" s="17"/>
      <c r="E138" s="18"/>
      <c r="F138" s="18"/>
      <c r="G138" s="18"/>
      <c r="H138" s="19"/>
    </row>
    <row r="139" spans="2:8" ht="15" customHeight="1" x14ac:dyDescent="0.35">
      <c r="B139" s="22">
        <v>0</v>
      </c>
      <c r="C139" s="17"/>
      <c r="D139" s="17"/>
      <c r="E139" s="18"/>
      <c r="F139" s="18"/>
      <c r="G139" s="18"/>
      <c r="H139" s="19"/>
    </row>
    <row r="140" spans="2:8" ht="15" customHeight="1" x14ac:dyDescent="0.35">
      <c r="B140" s="22">
        <v>0</v>
      </c>
      <c r="C140" s="17"/>
      <c r="D140" s="17"/>
      <c r="E140" s="18"/>
      <c r="F140" s="18"/>
      <c r="G140" s="18"/>
      <c r="H140" s="19"/>
    </row>
    <row r="141" spans="2:8" ht="15" customHeight="1" x14ac:dyDescent="0.35">
      <c r="B141" s="22">
        <v>0</v>
      </c>
      <c r="C141" s="17"/>
      <c r="D141" s="17"/>
      <c r="E141" s="18"/>
      <c r="F141" s="18"/>
      <c r="G141" s="18"/>
      <c r="H141" s="19"/>
    </row>
    <row r="142" spans="2:8" ht="15" customHeight="1" x14ac:dyDescent="0.35">
      <c r="B142" s="22">
        <v>0</v>
      </c>
      <c r="C142" s="17"/>
      <c r="D142" s="17"/>
      <c r="E142" s="18"/>
      <c r="F142" s="18"/>
      <c r="G142" s="18"/>
      <c r="H142" s="19"/>
    </row>
    <row r="143" spans="2:8" ht="15" customHeight="1" x14ac:dyDescent="0.35">
      <c r="B143" s="22">
        <v>0</v>
      </c>
      <c r="C143" s="17"/>
      <c r="D143" s="17"/>
      <c r="E143" s="18"/>
      <c r="F143" s="18"/>
      <c r="G143" s="18"/>
      <c r="H143" s="19"/>
    </row>
    <row r="144" spans="2:8" ht="15" customHeight="1" x14ac:dyDescent="0.35">
      <c r="B144" s="22">
        <v>0</v>
      </c>
      <c r="C144" s="17"/>
      <c r="D144" s="17"/>
      <c r="E144" s="18"/>
      <c r="F144" s="18"/>
      <c r="G144" s="18"/>
      <c r="H144" s="19"/>
    </row>
    <row r="145" spans="2:8" ht="15" customHeight="1" x14ac:dyDescent="0.35">
      <c r="B145" s="22">
        <v>0</v>
      </c>
      <c r="C145" s="17"/>
      <c r="D145" s="17"/>
      <c r="E145" s="18"/>
      <c r="F145" s="18"/>
      <c r="G145" s="18"/>
      <c r="H145" s="19"/>
    </row>
    <row r="146" spans="2:8" ht="15" customHeight="1" x14ac:dyDescent="0.35">
      <c r="B146" s="22">
        <v>0</v>
      </c>
      <c r="C146" s="17"/>
      <c r="D146" s="17"/>
      <c r="E146" s="18"/>
      <c r="F146" s="18"/>
      <c r="G146" s="18"/>
      <c r="H146" s="19"/>
    </row>
    <row r="147" spans="2:8" ht="15" customHeight="1" x14ac:dyDescent="0.35">
      <c r="B147" s="22">
        <v>0</v>
      </c>
      <c r="C147" s="17"/>
      <c r="D147" s="17"/>
      <c r="E147" s="18"/>
      <c r="F147" s="18"/>
      <c r="G147" s="18"/>
      <c r="H147" s="19"/>
    </row>
    <row r="148" spans="2:8" ht="15" customHeight="1" x14ac:dyDescent="0.35">
      <c r="B148" s="22">
        <v>0</v>
      </c>
      <c r="C148" s="17"/>
      <c r="D148" s="17"/>
      <c r="E148" s="18"/>
      <c r="F148" s="18"/>
      <c r="G148" s="18"/>
      <c r="H148" s="19"/>
    </row>
    <row r="149" spans="2:8" ht="15" customHeight="1" x14ac:dyDescent="0.35">
      <c r="B149" s="22">
        <v>0</v>
      </c>
      <c r="C149" s="17"/>
      <c r="D149" s="17"/>
      <c r="E149" s="18"/>
      <c r="F149" s="18"/>
      <c r="G149" s="18"/>
      <c r="H149" s="19"/>
    </row>
    <row r="150" spans="2:8" ht="15" customHeight="1" x14ac:dyDescent="0.35">
      <c r="B150" s="22">
        <v>0</v>
      </c>
      <c r="C150" s="17"/>
      <c r="D150" s="17"/>
      <c r="E150" s="18"/>
      <c r="F150" s="18"/>
      <c r="G150" s="18"/>
      <c r="H150" s="19"/>
    </row>
    <row r="151" spans="2:8" ht="15" customHeight="1" x14ac:dyDescent="0.35">
      <c r="B151" s="22">
        <v>0</v>
      </c>
      <c r="C151" s="17"/>
      <c r="D151" s="17"/>
      <c r="E151" s="18"/>
      <c r="F151" s="18"/>
      <c r="G151" s="18"/>
      <c r="H151" s="19"/>
    </row>
    <row r="152" spans="2:8" ht="15" customHeight="1" x14ac:dyDescent="0.35">
      <c r="B152" s="22">
        <v>0</v>
      </c>
      <c r="C152" s="17"/>
      <c r="D152" s="17"/>
      <c r="E152" s="18"/>
      <c r="F152" s="18"/>
      <c r="G152" s="18"/>
      <c r="H152" s="19"/>
    </row>
    <row r="153" spans="2:8" ht="15" customHeight="1" x14ac:dyDescent="0.35">
      <c r="B153" s="22">
        <v>0</v>
      </c>
      <c r="C153" s="17"/>
      <c r="D153" s="17"/>
      <c r="E153" s="18"/>
      <c r="F153" s="18"/>
      <c r="G153" s="18"/>
      <c r="H153" s="19"/>
    </row>
    <row r="154" spans="2:8" ht="15" customHeight="1" x14ac:dyDescent="0.35">
      <c r="B154" s="22">
        <v>0</v>
      </c>
      <c r="C154" s="17"/>
      <c r="D154" s="17"/>
      <c r="E154" s="18"/>
      <c r="F154" s="18"/>
      <c r="G154" s="18"/>
      <c r="H154" s="19"/>
    </row>
    <row r="155" spans="2:8" ht="15" customHeight="1" x14ac:dyDescent="0.35">
      <c r="B155" s="22">
        <v>0</v>
      </c>
      <c r="C155" s="17"/>
      <c r="D155" s="17"/>
      <c r="E155" s="18"/>
      <c r="F155" s="18"/>
      <c r="G155" s="18"/>
      <c r="H155" s="19"/>
    </row>
    <row r="156" spans="2:8" ht="15" customHeight="1" x14ac:dyDescent="0.35">
      <c r="B156" s="22">
        <v>0</v>
      </c>
      <c r="C156" s="17"/>
      <c r="D156" s="17"/>
      <c r="E156" s="18"/>
      <c r="F156" s="18"/>
      <c r="G156" s="18"/>
      <c r="H156" s="19"/>
    </row>
    <row r="157" spans="2:8" ht="15" customHeight="1" x14ac:dyDescent="0.35">
      <c r="B157" s="22">
        <v>0</v>
      </c>
      <c r="C157" s="17"/>
      <c r="D157" s="17"/>
      <c r="E157" s="18"/>
      <c r="F157" s="18"/>
      <c r="G157" s="18"/>
      <c r="H157" s="19"/>
    </row>
    <row r="158" spans="2:8" ht="15" customHeight="1" x14ac:dyDescent="0.35">
      <c r="B158" s="22">
        <v>0</v>
      </c>
      <c r="C158" s="17"/>
      <c r="D158" s="17"/>
      <c r="E158" s="18"/>
      <c r="F158" s="18"/>
      <c r="G158" s="18"/>
      <c r="H158" s="19"/>
    </row>
    <row r="159" spans="2:8" ht="15" customHeight="1" x14ac:dyDescent="0.35">
      <c r="B159" s="22">
        <v>0</v>
      </c>
      <c r="C159" s="17"/>
      <c r="D159" s="17"/>
      <c r="E159" s="18"/>
      <c r="F159" s="18"/>
      <c r="G159" s="18"/>
      <c r="H159" s="19"/>
    </row>
    <row r="160" spans="2:8" ht="15" customHeight="1" x14ac:dyDescent="0.35">
      <c r="B160" s="22">
        <v>0</v>
      </c>
      <c r="C160" s="17"/>
      <c r="D160" s="17"/>
      <c r="E160" s="18"/>
      <c r="F160" s="18"/>
      <c r="G160" s="18"/>
      <c r="H160" s="19"/>
    </row>
    <row r="161" spans="2:8" ht="15" customHeight="1" x14ac:dyDescent="0.35">
      <c r="B161" s="22">
        <v>0</v>
      </c>
      <c r="C161" s="17"/>
      <c r="D161" s="17"/>
      <c r="E161" s="18"/>
      <c r="F161" s="18"/>
      <c r="G161" s="18"/>
      <c r="H161" s="19"/>
    </row>
    <row r="162" spans="2:8" ht="15" customHeight="1" x14ac:dyDescent="0.35">
      <c r="B162" s="22">
        <v>0</v>
      </c>
      <c r="C162" s="17"/>
      <c r="D162" s="17"/>
      <c r="E162" s="18"/>
      <c r="F162" s="18"/>
      <c r="G162" s="18"/>
      <c r="H162" s="19"/>
    </row>
    <row r="163" spans="2:8" ht="15" customHeight="1" x14ac:dyDescent="0.35">
      <c r="B163" s="22">
        <v>0</v>
      </c>
      <c r="C163" s="17"/>
      <c r="D163" s="17"/>
      <c r="E163" s="18"/>
      <c r="F163" s="18"/>
      <c r="G163" s="18"/>
      <c r="H163" s="19"/>
    </row>
    <row r="164" spans="2:8" ht="15" customHeight="1" x14ac:dyDescent="0.35">
      <c r="B164" s="22">
        <v>0</v>
      </c>
      <c r="C164" s="17"/>
      <c r="D164" s="17"/>
      <c r="E164" s="18"/>
      <c r="F164" s="18"/>
      <c r="G164" s="18"/>
      <c r="H164" s="19"/>
    </row>
    <row r="165" spans="2:8" ht="15" customHeight="1" x14ac:dyDescent="0.35">
      <c r="B165" s="22">
        <v>0</v>
      </c>
      <c r="C165" s="17"/>
      <c r="D165" s="17"/>
      <c r="E165" s="18"/>
      <c r="F165" s="18"/>
      <c r="G165" s="18"/>
      <c r="H165" s="19"/>
    </row>
  </sheetData>
  <mergeCells count="5">
    <mergeCell ref="G3:H3"/>
    <mergeCell ref="G4:H4"/>
    <mergeCell ref="B6:H6"/>
    <mergeCell ref="B3:F3"/>
    <mergeCell ref="B4:F4"/>
  </mergeCells>
  <conditionalFormatting sqref="B8:B21 B23:B165">
    <cfRule type="dataBar" priority="5">
      <dataBar>
        <cfvo type="num" val="0"/>
        <cfvo type="num" val="1"/>
        <color rgb="FF00B050"/>
      </dataBar>
      <extLst>
        <ext xmlns:x14="http://schemas.microsoft.com/office/spreadsheetml/2009/9/main" uri="{B025F937-C7B1-47D3-B67F-A62EFF666E3E}">
          <x14:id>{00000000-000E-0000-0100-000004000000}</x14:id>
        </ext>
      </extLst>
    </cfRule>
  </conditionalFormatting>
  <conditionalFormatting sqref="B22">
    <cfRule type="dataBar" priority="1">
      <dataBar>
        <cfvo type="num" val="0"/>
        <cfvo type="num" val="1"/>
        <color rgb="FF00B050"/>
      </dataBar>
      <extLst>
        <ext xmlns:x14="http://schemas.microsoft.com/office/spreadsheetml/2009/9/main" uri="{B025F937-C7B1-47D3-B67F-A62EFF666E3E}">
          <x14:id>{5A595B46-929A-48CC-95DF-C7B73AB41745}</x14:id>
        </ext>
      </extLst>
    </cfRule>
  </conditionalFormatting>
  <dataValidations count="11">
    <dataValidation allowBlank="1" showInputMessage="1" showErrorMessage="1" prompt="Create a To-do list for projects in this workbook. Enter project details for Project 1 in this worksheet and details of Project 2 and Project 3 in subsequent worksheets" sqref="A1 I1"/>
    <dataValidation allowBlank="1" showInputMessage="1" showErrorMessage="1" prompt="Title of worksheet is in this cell. Enter Name of person to complete this project in cell D3 and deadline Date in cell D4. Enter project details in table starting in cell B7" sqref="B1"/>
    <dataValidation allowBlank="1" showInputMessage="1" showErrorMessage="1" prompt="Enter To be completed by person Name in cell at right" sqref="B3"/>
    <dataValidation allowBlank="1" showInputMessage="1" showErrorMessage="1" prompt="Enter To be completed by person Name in this cell" sqref="G3:H3"/>
    <dataValidation allowBlank="1" showInputMessage="1" showErrorMessage="1" prompt="Enter deadline Date in cell at right" sqref="B4"/>
    <dataValidation allowBlank="1" showInputMessage="1" showErrorMessage="1" prompt="Enter deadline Date in this cell" sqref="G4"/>
    <dataValidation allowBlank="1" showInputMessage="1" showErrorMessage="1" prompt="Enter details of Project 1 in table below" sqref="B6:H6"/>
    <dataValidation allowBlank="1" showInputMessage="1" showErrorMessage="1" prompt="Enter Percent done in this column under this heading. Data bar showing Percent done is automatically updated in each row. Use heading filters to find specific entries" sqref="B7"/>
    <dataValidation allowBlank="1" showInputMessage="1" showErrorMessage="1" prompt="Enter project Phase in this column under this heading" sqref="C7:D7"/>
    <dataValidation allowBlank="1" showInputMessage="1" showErrorMessage="1" prompt="Enter Due By date in this column under this heading" sqref="E7:G7"/>
    <dataValidation allowBlank="1" showInputMessage="1" showErrorMessage="1" prompt="Enter Notes in this column under this heading" sqref="H7"/>
  </dataValidations>
  <printOptions horizontalCentered="1"/>
  <pageMargins left="0.5" right="0.5" top="0.5" bottom="0.5" header="0.25" footer="0.25"/>
  <pageSetup scale="90" fitToHeight="0" orientation="portrait"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0000000-000E-0000-0100-000004000000}">
            <x14:dataBar minLength="0" maxLength="100" border="1" gradient="0">
              <x14:cfvo type="num">
                <xm:f>0</xm:f>
              </x14:cfvo>
              <x14:cfvo type="num">
                <xm:f>1</xm:f>
              </x14:cfvo>
              <x14:borderColor rgb="FF000000"/>
              <x14:negativeFillColor rgb="FFFF0000"/>
              <x14:axisColor rgb="FF000000"/>
            </x14:dataBar>
          </x14:cfRule>
          <xm:sqref>B8:B21 B23:B165</xm:sqref>
        </x14:conditionalFormatting>
        <x14:conditionalFormatting xmlns:xm="http://schemas.microsoft.com/office/excel/2006/main">
          <x14:cfRule type="dataBar" id="{5A595B46-929A-48CC-95DF-C7B73AB41745}">
            <x14:dataBar minLength="0" maxLength="100" border="1" gradient="0">
              <x14:cfvo type="num">
                <xm:f>0</xm:f>
              </x14:cfvo>
              <x14:cfvo type="num">
                <xm:f>1</xm:f>
              </x14:cfvo>
              <x14:borderColor rgb="FF000000"/>
              <x14:negativeFillColor rgb="FFFF0000"/>
              <x14:axisColor rgb="FF000000"/>
            </x14:dataBar>
          </x14:cfRule>
          <xm:sqref>B22</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14:formula1>
            <xm:f>OFFSET(Tables!$D$2,,,COUNTA(Tables!$D$2:$D$101),)</xm:f>
          </x14:formula1>
          <xm:sqref>D8:D165</xm:sqref>
        </x14:dataValidation>
        <x14:dataValidation type="list" allowBlank="1" showInputMessage="1" showErrorMessage="1">
          <x14:formula1>
            <xm:f>OFFSET(Tables!$A$2,,,COUNTA(Tables!$A$2:$A$101),)</xm:f>
          </x14:formula1>
          <xm:sqref>C8:C165</xm:sqref>
        </x14:dataValidation>
        <x14:dataValidation type="list" allowBlank="1" showInputMessage="1" showErrorMessage="1">
          <x14:formula1>
            <xm:f>OFFSET(Tables!$C$2,,,COUNTA(Tables!$C$2:$C$101),)</xm:f>
          </x14:formula1>
          <xm:sqref>F8:F165</xm:sqref>
        </x14:dataValidation>
        <x14:dataValidation type="list" allowBlank="1" showInputMessage="1" showErrorMessage="1">
          <x14:formula1>
            <xm:f>OFFSET(Tables!$E$2,,,COUNTA(Tables!$E$2:$E$101),)</xm:f>
          </x14:formula1>
          <xm:sqref>E8:E165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79998168889431442"/>
    <pageSetUpPr fitToPage="1"/>
  </sheetPr>
  <dimension ref="B1:F164"/>
  <sheetViews>
    <sheetView showGridLines="0" workbookViewId="0">
      <selection activeCell="B7" sqref="B7"/>
    </sheetView>
  </sheetViews>
  <sheetFormatPr defaultColWidth="9.125" defaultRowHeight="30" customHeight="1" x14ac:dyDescent="0.35"/>
  <cols>
    <col min="1" max="1" width="2.75" customWidth="1"/>
    <col min="2" max="2" width="9.875" customWidth="1"/>
    <col min="3" max="3" width="10.5" bestFit="1" customWidth="1"/>
    <col min="4" max="4" width="11.875" bestFit="1" customWidth="1"/>
    <col min="5" max="5" width="69.375" customWidth="1"/>
    <col min="6" max="6" width="126.625" customWidth="1"/>
    <col min="7" max="7" width="2.75" customWidth="1"/>
  </cols>
  <sheetData>
    <row r="1" spans="2:6" s="1" customFormat="1" ht="42.75" customHeight="1" x14ac:dyDescent="0.5">
      <c r="B1" s="2" t="s">
        <v>63</v>
      </c>
      <c r="C1" s="2"/>
      <c r="D1" s="2"/>
      <c r="E1" s="2"/>
      <c r="F1" s="2"/>
    </row>
    <row r="2" spans="2:6" ht="15" customHeight="1" x14ac:dyDescent="0.35"/>
    <row r="3" spans="2:6" s="1" customFormat="1" ht="18" customHeight="1" x14ac:dyDescent="0.35">
      <c r="B3" s="40" t="s">
        <v>0</v>
      </c>
      <c r="C3" s="40"/>
      <c r="D3" s="40"/>
      <c r="E3" s="36" t="str">
        <f>Targets!E3</f>
        <v>Massimo Maffeo</v>
      </c>
      <c r="F3" s="36"/>
    </row>
    <row r="4" spans="2:6" s="1" customFormat="1" ht="18" customHeight="1" x14ac:dyDescent="0.35">
      <c r="B4" s="40" t="s">
        <v>1</v>
      </c>
      <c r="C4" s="40"/>
      <c r="D4" s="40"/>
      <c r="E4" s="37">
        <f>Targets!E4</f>
        <v>43404</v>
      </c>
      <c r="F4" s="38"/>
    </row>
    <row r="5" spans="2:6" ht="15" customHeight="1" x14ac:dyDescent="0.35"/>
    <row r="6" spans="2:6" s="1" customFormat="1" ht="30" customHeight="1" x14ac:dyDescent="0.4">
      <c r="B6" s="39"/>
      <c r="C6" s="39"/>
      <c r="D6" s="39"/>
      <c r="E6" s="39"/>
      <c r="F6" s="39"/>
    </row>
    <row r="7" spans="2:6" s="1" customFormat="1" ht="30" customHeight="1" x14ac:dyDescent="0.35">
      <c r="B7" s="3" t="s">
        <v>3</v>
      </c>
      <c r="C7" s="3" t="s">
        <v>48</v>
      </c>
      <c r="D7" s="3" t="s">
        <v>14</v>
      </c>
      <c r="E7" s="3" t="s">
        <v>4</v>
      </c>
      <c r="F7" s="4" t="s">
        <v>2</v>
      </c>
    </row>
    <row r="8" spans="2:6" s="1" customFormat="1" ht="15" customHeight="1" x14ac:dyDescent="0.35">
      <c r="B8" s="22">
        <v>1</v>
      </c>
      <c r="C8" s="17" t="s">
        <v>49</v>
      </c>
      <c r="D8" s="17" t="s">
        <v>52</v>
      </c>
      <c r="E8" s="16" t="s">
        <v>46</v>
      </c>
      <c r="F8" s="25" t="s">
        <v>47</v>
      </c>
    </row>
    <row r="9" spans="2:6" s="1" customFormat="1" ht="15" customHeight="1" x14ac:dyDescent="0.35">
      <c r="B9" s="22">
        <v>1</v>
      </c>
      <c r="C9" s="17" t="s">
        <v>49</v>
      </c>
      <c r="D9" s="17" t="s">
        <v>53</v>
      </c>
      <c r="E9" s="13" t="s">
        <v>54</v>
      </c>
      <c r="F9" s="13"/>
    </row>
    <row r="10" spans="2:6" s="1" customFormat="1" ht="15" customHeight="1" x14ac:dyDescent="0.35">
      <c r="B10" s="22">
        <v>0</v>
      </c>
      <c r="C10" s="17" t="s">
        <v>55</v>
      </c>
      <c r="D10" s="17" t="s">
        <v>53</v>
      </c>
      <c r="E10" s="17" t="s">
        <v>56</v>
      </c>
      <c r="F10" s="26"/>
    </row>
    <row r="11" spans="2:6" s="1" customFormat="1" ht="15" customHeight="1" x14ac:dyDescent="0.35">
      <c r="B11" s="22">
        <v>0</v>
      </c>
      <c r="C11" s="17" t="s">
        <v>50</v>
      </c>
      <c r="D11" s="17" t="s">
        <v>73</v>
      </c>
      <c r="E11" s="17" t="s">
        <v>57</v>
      </c>
      <c r="F11" s="26"/>
    </row>
    <row r="12" spans="2:6" s="1" customFormat="1" ht="15" customHeight="1" x14ac:dyDescent="0.35">
      <c r="B12" s="22">
        <v>0.5</v>
      </c>
      <c r="C12" s="17" t="s">
        <v>50</v>
      </c>
      <c r="D12" s="17" t="s">
        <v>6</v>
      </c>
      <c r="E12" s="18" t="s">
        <v>72</v>
      </c>
      <c r="F12" s="12"/>
    </row>
    <row r="13" spans="2:6" s="1" customFormat="1" ht="15" customHeight="1" x14ac:dyDescent="0.35">
      <c r="B13" s="22">
        <v>0</v>
      </c>
      <c r="C13" s="17"/>
      <c r="D13" s="17"/>
      <c r="E13" s="18"/>
      <c r="F13" s="12"/>
    </row>
    <row r="14" spans="2:6" s="1" customFormat="1" ht="15" customHeight="1" x14ac:dyDescent="0.35">
      <c r="B14" s="22">
        <v>0</v>
      </c>
      <c r="C14" s="17"/>
      <c r="D14" s="17"/>
      <c r="E14" s="17"/>
      <c r="F14" s="13"/>
    </row>
    <row r="15" spans="2:6" s="1" customFormat="1" ht="15" customHeight="1" x14ac:dyDescent="0.35">
      <c r="B15" s="22">
        <v>0</v>
      </c>
      <c r="C15" s="17"/>
      <c r="D15" s="17"/>
      <c r="E15" s="16"/>
      <c r="F15" s="14"/>
    </row>
    <row r="16" spans="2:6" s="1" customFormat="1" ht="15" customHeight="1" x14ac:dyDescent="0.35">
      <c r="B16" s="22">
        <v>0</v>
      </c>
      <c r="C16" s="17"/>
      <c r="D16" s="17"/>
      <c r="E16" s="7"/>
      <c r="F16" s="15"/>
    </row>
    <row r="17" spans="2:6" ht="15" customHeight="1" x14ac:dyDescent="0.35">
      <c r="B17" s="22">
        <v>0</v>
      </c>
      <c r="C17" s="17"/>
      <c r="D17" s="17"/>
      <c r="E17" s="9"/>
      <c r="F17" s="8"/>
    </row>
    <row r="18" spans="2:6" ht="15" customHeight="1" x14ac:dyDescent="0.35">
      <c r="B18" s="22">
        <v>0</v>
      </c>
      <c r="C18" s="17"/>
      <c r="D18" s="17"/>
      <c r="E18" s="10"/>
      <c r="F18" s="12"/>
    </row>
    <row r="19" spans="2:6" ht="15" customHeight="1" x14ac:dyDescent="0.35">
      <c r="B19" s="22">
        <v>0</v>
      </c>
      <c r="C19" s="17"/>
      <c r="D19" s="17"/>
      <c r="E19" s="10"/>
      <c r="F19" s="12"/>
    </row>
    <row r="20" spans="2:6" ht="15" customHeight="1" x14ac:dyDescent="0.35">
      <c r="B20" s="22">
        <v>0</v>
      </c>
      <c r="C20" s="17"/>
      <c r="D20" s="17"/>
      <c r="E20" s="10"/>
      <c r="F20" s="12"/>
    </row>
    <row r="21" spans="2:6" ht="15" customHeight="1" x14ac:dyDescent="0.35">
      <c r="B21" s="22">
        <v>0</v>
      </c>
      <c r="C21" s="17"/>
      <c r="D21" s="17"/>
      <c r="E21" s="10"/>
      <c r="F21" s="12"/>
    </row>
    <row r="22" spans="2:6" ht="15" customHeight="1" x14ac:dyDescent="0.35">
      <c r="B22" s="22">
        <v>0</v>
      </c>
      <c r="C22" s="17"/>
      <c r="D22" s="17"/>
      <c r="E22" s="11"/>
      <c r="F22" s="12"/>
    </row>
    <row r="23" spans="2:6" ht="15" customHeight="1" x14ac:dyDescent="0.35">
      <c r="B23" s="22">
        <v>0</v>
      </c>
      <c r="C23" s="17"/>
      <c r="D23" s="17"/>
      <c r="E23" s="11"/>
      <c r="F23" s="12"/>
    </row>
    <row r="24" spans="2:6" ht="15" customHeight="1" x14ac:dyDescent="0.35">
      <c r="B24" s="22">
        <v>0</v>
      </c>
      <c r="C24" s="17"/>
      <c r="D24" s="17"/>
      <c r="E24" s="11"/>
      <c r="F24" s="12"/>
    </row>
    <row r="25" spans="2:6" ht="15" customHeight="1" x14ac:dyDescent="0.35">
      <c r="B25" s="22">
        <v>0</v>
      </c>
      <c r="C25" s="17"/>
      <c r="D25" s="17"/>
      <c r="E25" s="11"/>
      <c r="F25" s="12"/>
    </row>
    <row r="26" spans="2:6" ht="15" customHeight="1" x14ac:dyDescent="0.35">
      <c r="B26" s="22">
        <v>0</v>
      </c>
      <c r="C26" s="17"/>
      <c r="D26" s="17"/>
      <c r="E26" s="11"/>
      <c r="F26" s="12"/>
    </row>
    <row r="27" spans="2:6" ht="15" customHeight="1" x14ac:dyDescent="0.35">
      <c r="B27" s="22">
        <v>0</v>
      </c>
      <c r="C27" s="17"/>
      <c r="D27" s="17"/>
      <c r="E27" s="11"/>
      <c r="F27" s="12"/>
    </row>
    <row r="28" spans="2:6" ht="15" customHeight="1" x14ac:dyDescent="0.35">
      <c r="B28" s="22">
        <v>0</v>
      </c>
      <c r="C28" s="17"/>
      <c r="D28" s="17"/>
      <c r="E28" s="11"/>
      <c r="F28" s="12"/>
    </row>
    <row r="29" spans="2:6" ht="15" customHeight="1" x14ac:dyDescent="0.35">
      <c r="B29" s="22">
        <v>0</v>
      </c>
      <c r="C29" s="17"/>
      <c r="D29" s="17"/>
      <c r="E29" s="11"/>
      <c r="F29" s="12"/>
    </row>
    <row r="30" spans="2:6" ht="15" customHeight="1" x14ac:dyDescent="0.35">
      <c r="B30" s="22">
        <v>0</v>
      </c>
      <c r="C30" s="17"/>
      <c r="D30" s="17"/>
      <c r="E30" s="11"/>
      <c r="F30" s="12"/>
    </row>
    <row r="31" spans="2:6" ht="15" customHeight="1" x14ac:dyDescent="0.35">
      <c r="B31" s="22">
        <v>0</v>
      </c>
      <c r="C31" s="17"/>
      <c r="D31" s="17"/>
      <c r="E31" s="11"/>
      <c r="F31" s="12"/>
    </row>
    <row r="32" spans="2:6" ht="15" customHeight="1" x14ac:dyDescent="0.35">
      <c r="B32" s="22">
        <v>0</v>
      </c>
      <c r="C32" s="17"/>
      <c r="D32" s="17"/>
      <c r="E32" s="11"/>
      <c r="F32" s="12"/>
    </row>
    <row r="33" spans="2:6" ht="15" customHeight="1" x14ac:dyDescent="0.35">
      <c r="B33" s="22">
        <v>0</v>
      </c>
      <c r="C33" s="17"/>
      <c r="D33" s="17"/>
      <c r="E33" s="11"/>
      <c r="F33" s="12"/>
    </row>
    <row r="34" spans="2:6" ht="15" customHeight="1" x14ac:dyDescent="0.35">
      <c r="B34" s="22">
        <v>0</v>
      </c>
      <c r="C34" s="17"/>
      <c r="D34" s="17"/>
      <c r="E34" s="11"/>
      <c r="F34" s="12"/>
    </row>
    <row r="35" spans="2:6" ht="15" customHeight="1" x14ac:dyDescent="0.35">
      <c r="B35" s="22">
        <v>0</v>
      </c>
      <c r="C35" s="17"/>
      <c r="D35" s="17"/>
      <c r="E35" s="11"/>
      <c r="F35" s="12"/>
    </row>
    <row r="36" spans="2:6" ht="15" customHeight="1" x14ac:dyDescent="0.35">
      <c r="B36" s="22">
        <v>0</v>
      </c>
      <c r="C36" s="17"/>
      <c r="D36" s="17"/>
      <c r="E36" s="11"/>
      <c r="F36" s="12"/>
    </row>
    <row r="37" spans="2:6" ht="15" customHeight="1" x14ac:dyDescent="0.35">
      <c r="B37" s="22">
        <v>0</v>
      </c>
      <c r="C37" s="17"/>
      <c r="D37" s="17"/>
      <c r="E37" s="11"/>
      <c r="F37" s="12"/>
    </row>
    <row r="38" spans="2:6" ht="15" customHeight="1" x14ac:dyDescent="0.35">
      <c r="B38" s="22">
        <v>0</v>
      </c>
      <c r="C38" s="17"/>
      <c r="D38" s="17"/>
      <c r="E38" s="11"/>
      <c r="F38" s="12"/>
    </row>
    <row r="39" spans="2:6" ht="15" customHeight="1" x14ac:dyDescent="0.35">
      <c r="B39" s="22">
        <v>0</v>
      </c>
      <c r="C39" s="17"/>
      <c r="D39" s="17"/>
      <c r="E39" s="11"/>
      <c r="F39" s="12"/>
    </row>
    <row r="40" spans="2:6" ht="15" customHeight="1" x14ac:dyDescent="0.35">
      <c r="B40" s="22">
        <v>0</v>
      </c>
      <c r="C40" s="17"/>
      <c r="D40" s="17"/>
      <c r="E40" s="11"/>
      <c r="F40" s="12"/>
    </row>
    <row r="41" spans="2:6" ht="15" customHeight="1" x14ac:dyDescent="0.35">
      <c r="B41" s="22">
        <v>0</v>
      </c>
      <c r="C41" s="17"/>
      <c r="D41" s="17"/>
      <c r="E41" s="11"/>
      <c r="F41" s="12"/>
    </row>
    <row r="42" spans="2:6" ht="15" customHeight="1" x14ac:dyDescent="0.35">
      <c r="B42" s="22">
        <v>0</v>
      </c>
      <c r="C42" s="17"/>
      <c r="D42" s="17"/>
      <c r="E42" s="11"/>
      <c r="F42" s="12"/>
    </row>
    <row r="43" spans="2:6" ht="15" customHeight="1" x14ac:dyDescent="0.35">
      <c r="B43" s="22">
        <v>0</v>
      </c>
      <c r="C43" s="17"/>
      <c r="D43" s="17"/>
      <c r="E43" s="11"/>
      <c r="F43" s="12"/>
    </row>
    <row r="44" spans="2:6" ht="15" customHeight="1" x14ac:dyDescent="0.35">
      <c r="B44" s="22">
        <v>0</v>
      </c>
      <c r="C44" s="17"/>
      <c r="D44" s="17"/>
      <c r="E44" s="11"/>
      <c r="F44" s="12"/>
    </row>
    <row r="45" spans="2:6" ht="15" customHeight="1" x14ac:dyDescent="0.35">
      <c r="B45" s="22">
        <v>0</v>
      </c>
      <c r="C45" s="17"/>
      <c r="D45" s="17"/>
      <c r="E45" s="11"/>
      <c r="F45" s="12"/>
    </row>
    <row r="46" spans="2:6" ht="15" customHeight="1" x14ac:dyDescent="0.35">
      <c r="B46" s="22">
        <v>0</v>
      </c>
      <c r="C46" s="17"/>
      <c r="D46" s="17"/>
      <c r="E46" s="11"/>
      <c r="F46" s="12"/>
    </row>
    <row r="47" spans="2:6" ht="15" customHeight="1" x14ac:dyDescent="0.35">
      <c r="B47" s="22">
        <v>0</v>
      </c>
      <c r="C47" s="17"/>
      <c r="D47" s="17"/>
      <c r="E47" s="11"/>
      <c r="F47" s="12"/>
    </row>
    <row r="48" spans="2:6" ht="15" customHeight="1" x14ac:dyDescent="0.35">
      <c r="B48" s="22">
        <v>0</v>
      </c>
      <c r="C48" s="17"/>
      <c r="D48" s="17"/>
      <c r="E48" s="11"/>
      <c r="F48" s="12"/>
    </row>
    <row r="49" spans="2:6" ht="15" customHeight="1" x14ac:dyDescent="0.35">
      <c r="B49" s="22">
        <v>0</v>
      </c>
      <c r="C49" s="17"/>
      <c r="D49" s="17"/>
      <c r="E49" s="11"/>
      <c r="F49" s="12"/>
    </row>
    <row r="50" spans="2:6" ht="15" customHeight="1" x14ac:dyDescent="0.35">
      <c r="B50" s="22">
        <v>0</v>
      </c>
      <c r="C50" s="17"/>
      <c r="D50" s="17"/>
      <c r="E50" s="11"/>
      <c r="F50" s="12"/>
    </row>
    <row r="51" spans="2:6" ht="15" customHeight="1" x14ac:dyDescent="0.35">
      <c r="B51" s="22">
        <v>0</v>
      </c>
      <c r="C51" s="17"/>
      <c r="D51" s="17"/>
      <c r="E51" s="11"/>
      <c r="F51" s="12"/>
    </row>
    <row r="52" spans="2:6" ht="15" customHeight="1" x14ac:dyDescent="0.35">
      <c r="B52" s="22">
        <v>0</v>
      </c>
      <c r="C52" s="17"/>
      <c r="D52" s="17"/>
      <c r="E52" s="11"/>
      <c r="F52" s="12"/>
    </row>
    <row r="53" spans="2:6" ht="15" customHeight="1" x14ac:dyDescent="0.35">
      <c r="B53" s="22">
        <v>0</v>
      </c>
      <c r="C53" s="17"/>
      <c r="D53" s="17"/>
      <c r="E53" s="11"/>
      <c r="F53" s="12"/>
    </row>
    <row r="54" spans="2:6" ht="15" customHeight="1" x14ac:dyDescent="0.35">
      <c r="B54" s="22">
        <v>0</v>
      </c>
      <c r="C54" s="17"/>
      <c r="D54" s="17"/>
      <c r="E54" s="11"/>
      <c r="F54" s="12"/>
    </row>
    <row r="55" spans="2:6" ht="15" customHeight="1" x14ac:dyDescent="0.35">
      <c r="B55" s="22">
        <v>0</v>
      </c>
      <c r="C55" s="17"/>
      <c r="D55" s="17"/>
      <c r="E55" s="11"/>
      <c r="F55" s="12"/>
    </row>
    <row r="56" spans="2:6" ht="15" customHeight="1" x14ac:dyDescent="0.35">
      <c r="B56" s="22">
        <v>0</v>
      </c>
      <c r="C56" s="17"/>
      <c r="D56" s="17"/>
      <c r="E56" s="11"/>
      <c r="F56" s="12"/>
    </row>
    <row r="57" spans="2:6" ht="15" customHeight="1" x14ac:dyDescent="0.35">
      <c r="B57" s="22">
        <v>0</v>
      </c>
      <c r="C57" s="17"/>
      <c r="D57" s="17"/>
      <c r="E57" s="11"/>
      <c r="F57" s="12"/>
    </row>
    <row r="58" spans="2:6" ht="15" customHeight="1" x14ac:dyDescent="0.35">
      <c r="B58" s="22">
        <v>0</v>
      </c>
      <c r="C58" s="17"/>
      <c r="D58" s="17"/>
      <c r="E58" s="11"/>
      <c r="F58" s="12"/>
    </row>
    <row r="59" spans="2:6" ht="15" customHeight="1" x14ac:dyDescent="0.35">
      <c r="B59" s="22">
        <v>0</v>
      </c>
      <c r="C59" s="17"/>
      <c r="D59" s="17"/>
      <c r="E59" s="11"/>
      <c r="F59" s="12"/>
    </row>
    <row r="60" spans="2:6" ht="15" customHeight="1" x14ac:dyDescent="0.35">
      <c r="B60" s="22">
        <v>0</v>
      </c>
      <c r="C60" s="17"/>
      <c r="D60" s="17"/>
      <c r="E60" s="11"/>
      <c r="F60" s="12"/>
    </row>
    <row r="61" spans="2:6" ht="15" customHeight="1" x14ac:dyDescent="0.35">
      <c r="B61" s="22">
        <v>0</v>
      </c>
      <c r="C61" s="17"/>
      <c r="D61" s="17"/>
      <c r="E61" s="11"/>
      <c r="F61" s="12"/>
    </row>
    <row r="62" spans="2:6" ht="15" customHeight="1" x14ac:dyDescent="0.35">
      <c r="B62" s="22">
        <v>0</v>
      </c>
      <c r="C62" s="17"/>
      <c r="D62" s="17"/>
      <c r="E62" s="11"/>
      <c r="F62" s="12"/>
    </row>
    <row r="63" spans="2:6" ht="15" customHeight="1" x14ac:dyDescent="0.35">
      <c r="B63" s="22">
        <v>0</v>
      </c>
      <c r="C63" s="17"/>
      <c r="D63" s="17"/>
      <c r="E63" s="11"/>
      <c r="F63" s="12"/>
    </row>
    <row r="64" spans="2:6" ht="15" customHeight="1" x14ac:dyDescent="0.35">
      <c r="B64" s="22">
        <v>0</v>
      </c>
      <c r="C64" s="17"/>
      <c r="D64" s="17"/>
      <c r="E64" s="11"/>
      <c r="F64" s="12"/>
    </row>
    <row r="65" spans="2:6" ht="15" customHeight="1" x14ac:dyDescent="0.35">
      <c r="B65" s="22">
        <v>0</v>
      </c>
      <c r="C65" s="17"/>
      <c r="D65" s="17"/>
      <c r="E65" s="11"/>
      <c r="F65" s="12"/>
    </row>
    <row r="66" spans="2:6" ht="15" customHeight="1" x14ac:dyDescent="0.35">
      <c r="B66" s="22">
        <v>0</v>
      </c>
      <c r="C66" s="17"/>
      <c r="D66" s="17"/>
      <c r="E66" s="11"/>
      <c r="F66" s="12"/>
    </row>
    <row r="67" spans="2:6" ht="15" customHeight="1" x14ac:dyDescent="0.35">
      <c r="B67" s="22">
        <v>0</v>
      </c>
      <c r="C67" s="17"/>
      <c r="D67" s="17"/>
      <c r="E67" s="11"/>
      <c r="F67" s="12"/>
    </row>
    <row r="68" spans="2:6" ht="15" customHeight="1" x14ac:dyDescent="0.35">
      <c r="B68" s="22">
        <v>0</v>
      </c>
      <c r="C68" s="17"/>
      <c r="D68" s="17"/>
      <c r="E68" s="11"/>
      <c r="F68" s="12"/>
    </row>
    <row r="69" spans="2:6" ht="15" customHeight="1" x14ac:dyDescent="0.35">
      <c r="B69" s="22">
        <v>0</v>
      </c>
      <c r="C69" s="17"/>
      <c r="D69" s="17"/>
      <c r="E69" s="11"/>
      <c r="F69" s="12"/>
    </row>
    <row r="70" spans="2:6" ht="15" customHeight="1" x14ac:dyDescent="0.35">
      <c r="B70" s="22">
        <v>0</v>
      </c>
      <c r="C70" s="17"/>
      <c r="D70" s="17"/>
      <c r="E70" s="11"/>
      <c r="F70" s="12"/>
    </row>
    <row r="71" spans="2:6" ht="15" customHeight="1" x14ac:dyDescent="0.35">
      <c r="B71" s="22">
        <v>0</v>
      </c>
      <c r="C71" s="17"/>
      <c r="D71" s="17"/>
      <c r="E71" s="11"/>
      <c r="F71" s="12"/>
    </row>
    <row r="72" spans="2:6" ht="15" customHeight="1" x14ac:dyDescent="0.35">
      <c r="B72" s="22">
        <v>0</v>
      </c>
      <c r="C72" s="17"/>
      <c r="D72" s="17"/>
      <c r="E72" s="11"/>
      <c r="F72" s="12"/>
    </row>
    <row r="73" spans="2:6" ht="15" customHeight="1" x14ac:dyDescent="0.35">
      <c r="B73" s="22">
        <v>0</v>
      </c>
      <c r="C73" s="17"/>
      <c r="D73" s="17"/>
      <c r="E73" s="11"/>
      <c r="F73" s="12"/>
    </row>
    <row r="74" spans="2:6" ht="15" customHeight="1" x14ac:dyDescent="0.35">
      <c r="B74" s="22">
        <v>0</v>
      </c>
      <c r="C74" s="17"/>
      <c r="D74" s="17"/>
      <c r="E74" s="11"/>
      <c r="F74" s="12"/>
    </row>
    <row r="75" spans="2:6" ht="15" customHeight="1" x14ac:dyDescent="0.35">
      <c r="B75" s="22">
        <v>0</v>
      </c>
      <c r="C75" s="17"/>
      <c r="D75" s="17"/>
      <c r="E75" s="11"/>
      <c r="F75" s="12"/>
    </row>
    <row r="76" spans="2:6" ht="15" customHeight="1" x14ac:dyDescent="0.35">
      <c r="B76" s="22">
        <v>0</v>
      </c>
      <c r="C76" s="17"/>
      <c r="D76" s="17"/>
      <c r="E76" s="11"/>
      <c r="F76" s="12"/>
    </row>
    <row r="77" spans="2:6" ht="15" customHeight="1" x14ac:dyDescent="0.35">
      <c r="B77" s="22">
        <v>0</v>
      </c>
      <c r="C77" s="17"/>
      <c r="D77" s="17"/>
      <c r="E77" s="11"/>
      <c r="F77" s="12"/>
    </row>
    <row r="78" spans="2:6" ht="15" customHeight="1" x14ac:dyDescent="0.35">
      <c r="B78" s="22">
        <v>0</v>
      </c>
      <c r="C78" s="17"/>
      <c r="D78" s="17"/>
      <c r="E78" s="11"/>
      <c r="F78" s="12"/>
    </row>
    <row r="79" spans="2:6" ht="15" customHeight="1" x14ac:dyDescent="0.35">
      <c r="B79" s="22">
        <v>0</v>
      </c>
      <c r="C79" s="17"/>
      <c r="D79" s="17"/>
      <c r="E79" s="11"/>
      <c r="F79" s="12"/>
    </row>
    <row r="80" spans="2:6" ht="15" customHeight="1" x14ac:dyDescent="0.35">
      <c r="B80" s="22">
        <v>0</v>
      </c>
      <c r="C80" s="17"/>
      <c r="D80" s="17"/>
      <c r="E80" s="11"/>
      <c r="F80" s="12"/>
    </row>
    <row r="81" spans="2:6" ht="15" customHeight="1" x14ac:dyDescent="0.35">
      <c r="B81" s="22">
        <v>0</v>
      </c>
      <c r="C81" s="17"/>
      <c r="D81" s="17"/>
      <c r="E81" s="11"/>
      <c r="F81" s="12"/>
    </row>
    <row r="82" spans="2:6" ht="15" customHeight="1" x14ac:dyDescent="0.35">
      <c r="B82" s="22">
        <v>0</v>
      </c>
      <c r="C82" s="17"/>
      <c r="D82" s="17"/>
      <c r="E82" s="11"/>
      <c r="F82" s="12"/>
    </row>
    <row r="83" spans="2:6" ht="15" customHeight="1" x14ac:dyDescent="0.35">
      <c r="B83" s="22">
        <v>0</v>
      </c>
      <c r="C83" s="17"/>
      <c r="D83" s="17"/>
      <c r="E83" s="11"/>
      <c r="F83" s="12"/>
    </row>
    <row r="84" spans="2:6" ht="15" customHeight="1" x14ac:dyDescent="0.35">
      <c r="B84" s="22">
        <v>0</v>
      </c>
      <c r="C84" s="17"/>
      <c r="D84" s="17"/>
      <c r="E84" s="11"/>
      <c r="F84" s="12"/>
    </row>
    <row r="85" spans="2:6" ht="15" customHeight="1" x14ac:dyDescent="0.35">
      <c r="B85" s="22">
        <v>0</v>
      </c>
      <c r="C85" s="17"/>
      <c r="D85" s="17"/>
      <c r="E85" s="11"/>
      <c r="F85" s="12"/>
    </row>
    <row r="86" spans="2:6" ht="15" customHeight="1" x14ac:dyDescent="0.35">
      <c r="B86" s="22">
        <v>0</v>
      </c>
      <c r="C86" s="17"/>
      <c r="D86" s="17"/>
      <c r="E86" s="11"/>
      <c r="F86" s="12"/>
    </row>
    <row r="87" spans="2:6" ht="15" customHeight="1" x14ac:dyDescent="0.35">
      <c r="B87" s="22">
        <v>0</v>
      </c>
      <c r="C87" s="17"/>
      <c r="D87" s="17"/>
      <c r="E87" s="11"/>
      <c r="F87" s="12"/>
    </row>
    <row r="88" spans="2:6" ht="15" customHeight="1" x14ac:dyDescent="0.35">
      <c r="B88" s="22">
        <v>0</v>
      </c>
      <c r="C88" s="17"/>
      <c r="D88" s="17"/>
      <c r="E88" s="11"/>
      <c r="F88" s="12"/>
    </row>
    <row r="89" spans="2:6" ht="15" customHeight="1" x14ac:dyDescent="0.35">
      <c r="B89" s="22">
        <v>0</v>
      </c>
      <c r="C89" s="17"/>
      <c r="D89" s="17"/>
      <c r="E89" s="11"/>
      <c r="F89" s="12"/>
    </row>
    <row r="90" spans="2:6" ht="15" customHeight="1" x14ac:dyDescent="0.35">
      <c r="B90" s="22">
        <v>0</v>
      </c>
      <c r="C90" s="17"/>
      <c r="D90" s="17"/>
      <c r="E90" s="11"/>
      <c r="F90" s="12"/>
    </row>
    <row r="91" spans="2:6" ht="15" customHeight="1" x14ac:dyDescent="0.35">
      <c r="B91" s="22">
        <v>0</v>
      </c>
      <c r="C91" s="17"/>
      <c r="D91" s="17"/>
      <c r="E91" s="11"/>
      <c r="F91" s="12"/>
    </row>
    <row r="92" spans="2:6" ht="15" customHeight="1" x14ac:dyDescent="0.35">
      <c r="B92" s="22">
        <v>0</v>
      </c>
      <c r="C92" s="17"/>
      <c r="D92" s="17"/>
      <c r="E92" s="11"/>
      <c r="F92" s="12"/>
    </row>
    <row r="93" spans="2:6" ht="15" customHeight="1" x14ac:dyDescent="0.35">
      <c r="B93" s="22">
        <v>0</v>
      </c>
      <c r="C93" s="17"/>
      <c r="D93" s="17"/>
      <c r="E93" s="11"/>
      <c r="F93" s="12"/>
    </row>
    <row r="94" spans="2:6" ht="15" customHeight="1" x14ac:dyDescent="0.35">
      <c r="B94" s="22">
        <v>0</v>
      </c>
      <c r="C94" s="17"/>
      <c r="D94" s="17"/>
      <c r="E94" s="11"/>
      <c r="F94" s="12"/>
    </row>
    <row r="95" spans="2:6" ht="15" customHeight="1" x14ac:dyDescent="0.35">
      <c r="B95" s="22">
        <v>0</v>
      </c>
      <c r="C95" s="17"/>
      <c r="D95" s="17"/>
      <c r="E95" s="11"/>
      <c r="F95" s="12"/>
    </row>
    <row r="96" spans="2:6" ht="15" customHeight="1" x14ac:dyDescent="0.35">
      <c r="B96" s="22">
        <v>0</v>
      </c>
      <c r="C96" s="17"/>
      <c r="D96" s="17"/>
      <c r="E96" s="11"/>
      <c r="F96" s="12"/>
    </row>
    <row r="97" spans="2:6" ht="15" customHeight="1" x14ac:dyDescent="0.35">
      <c r="B97" s="22">
        <v>0</v>
      </c>
      <c r="C97" s="17"/>
      <c r="D97" s="17"/>
      <c r="E97" s="11"/>
      <c r="F97" s="12"/>
    </row>
    <row r="98" spans="2:6" ht="15" customHeight="1" x14ac:dyDescent="0.35">
      <c r="B98" s="22">
        <v>0</v>
      </c>
      <c r="C98" s="17"/>
      <c r="D98" s="17"/>
      <c r="E98" s="11"/>
      <c r="F98" s="12"/>
    </row>
    <row r="99" spans="2:6" ht="15" customHeight="1" x14ac:dyDescent="0.35">
      <c r="B99" s="22">
        <v>0</v>
      </c>
      <c r="C99" s="17"/>
      <c r="D99" s="17"/>
      <c r="E99" s="11"/>
      <c r="F99" s="12"/>
    </row>
    <row r="100" spans="2:6" ht="15" customHeight="1" x14ac:dyDescent="0.35">
      <c r="B100" s="22">
        <v>0</v>
      </c>
      <c r="C100" s="17"/>
      <c r="D100" s="17"/>
      <c r="E100" s="11"/>
      <c r="F100" s="12"/>
    </row>
    <row r="101" spans="2:6" ht="15" customHeight="1" x14ac:dyDescent="0.35">
      <c r="B101" s="22">
        <v>0</v>
      </c>
      <c r="C101" s="17"/>
      <c r="D101" s="17"/>
      <c r="E101" s="11"/>
      <c r="F101" s="12"/>
    </row>
    <row r="102" spans="2:6" ht="15" customHeight="1" x14ac:dyDescent="0.35">
      <c r="B102" s="22">
        <v>0</v>
      </c>
      <c r="C102" s="17"/>
      <c r="D102" s="17"/>
      <c r="E102" s="11"/>
      <c r="F102" s="12"/>
    </row>
    <row r="103" spans="2:6" ht="15" customHeight="1" x14ac:dyDescent="0.35">
      <c r="B103" s="22">
        <v>0</v>
      </c>
      <c r="C103" s="17"/>
      <c r="D103" s="17"/>
      <c r="E103" s="11"/>
      <c r="F103" s="12"/>
    </row>
    <row r="104" spans="2:6" ht="15" customHeight="1" x14ac:dyDescent="0.35">
      <c r="B104" s="22">
        <v>0</v>
      </c>
      <c r="C104" s="17"/>
      <c r="D104" s="17"/>
      <c r="E104" s="11"/>
      <c r="F104" s="12"/>
    </row>
    <row r="105" spans="2:6" ht="15" customHeight="1" x14ac:dyDescent="0.35">
      <c r="B105" s="22">
        <v>0</v>
      </c>
      <c r="C105" s="17"/>
      <c r="D105" s="17"/>
      <c r="E105" s="11"/>
      <c r="F105" s="12"/>
    </row>
    <row r="106" spans="2:6" ht="15" customHeight="1" x14ac:dyDescent="0.35">
      <c r="B106" s="22">
        <v>0</v>
      </c>
      <c r="C106" s="17"/>
      <c r="D106" s="17"/>
      <c r="E106" s="11"/>
      <c r="F106" s="12"/>
    </row>
    <row r="107" spans="2:6" ht="15" customHeight="1" x14ac:dyDescent="0.35">
      <c r="B107" s="22">
        <v>0</v>
      </c>
      <c r="C107" s="17"/>
      <c r="D107" s="17"/>
      <c r="E107" s="11"/>
      <c r="F107" s="12"/>
    </row>
    <row r="108" spans="2:6" ht="15" customHeight="1" x14ac:dyDescent="0.35">
      <c r="B108" s="22">
        <v>0</v>
      </c>
      <c r="C108" s="17"/>
      <c r="D108" s="17"/>
      <c r="E108" s="11"/>
      <c r="F108" s="12"/>
    </row>
    <row r="109" spans="2:6" ht="15" customHeight="1" x14ac:dyDescent="0.35">
      <c r="B109" s="22">
        <v>0</v>
      </c>
      <c r="C109" s="17"/>
      <c r="D109" s="17"/>
      <c r="E109" s="11"/>
      <c r="F109" s="12"/>
    </row>
    <row r="110" spans="2:6" ht="15" customHeight="1" x14ac:dyDescent="0.35">
      <c r="B110" s="22">
        <v>0</v>
      </c>
      <c r="C110" s="17"/>
      <c r="D110" s="17"/>
      <c r="E110" s="11"/>
      <c r="F110" s="12"/>
    </row>
    <row r="111" spans="2:6" ht="15" customHeight="1" x14ac:dyDescent="0.35">
      <c r="B111" s="22">
        <v>0</v>
      </c>
      <c r="C111" s="17"/>
      <c r="D111" s="17"/>
      <c r="E111" s="11"/>
      <c r="F111" s="12"/>
    </row>
    <row r="112" spans="2:6" ht="15" customHeight="1" x14ac:dyDescent="0.35">
      <c r="B112" s="22">
        <v>0</v>
      </c>
      <c r="C112" s="17"/>
      <c r="D112" s="17"/>
      <c r="E112" s="11"/>
      <c r="F112" s="12"/>
    </row>
    <row r="113" spans="2:6" ht="15" customHeight="1" x14ac:dyDescent="0.35">
      <c r="B113" s="22">
        <v>0</v>
      </c>
      <c r="C113" s="17"/>
      <c r="D113" s="17"/>
      <c r="E113" s="11"/>
      <c r="F113" s="12"/>
    </row>
    <row r="114" spans="2:6" ht="15" customHeight="1" x14ac:dyDescent="0.35">
      <c r="B114" s="22">
        <v>0</v>
      </c>
      <c r="C114" s="17"/>
      <c r="D114" s="17"/>
      <c r="E114" s="11"/>
      <c r="F114" s="12"/>
    </row>
    <row r="115" spans="2:6" ht="15" customHeight="1" x14ac:dyDescent="0.35">
      <c r="B115" s="22">
        <v>0</v>
      </c>
      <c r="C115" s="17"/>
      <c r="D115" s="17"/>
      <c r="E115" s="11"/>
      <c r="F115" s="12"/>
    </row>
    <row r="116" spans="2:6" ht="15" customHeight="1" x14ac:dyDescent="0.35">
      <c r="B116" s="22">
        <v>0</v>
      </c>
      <c r="C116" s="17"/>
      <c r="D116" s="17"/>
      <c r="E116" s="11"/>
      <c r="F116" s="12"/>
    </row>
    <row r="117" spans="2:6" ht="15" customHeight="1" x14ac:dyDescent="0.35">
      <c r="B117" s="22">
        <v>0</v>
      </c>
      <c r="C117" s="17"/>
      <c r="D117" s="17"/>
      <c r="E117" s="11"/>
      <c r="F117" s="12"/>
    </row>
    <row r="118" spans="2:6" ht="15" customHeight="1" x14ac:dyDescent="0.35">
      <c r="B118" s="22">
        <v>0</v>
      </c>
      <c r="C118" s="17"/>
      <c r="D118" s="17"/>
      <c r="E118" s="11"/>
      <c r="F118" s="12"/>
    </row>
    <row r="119" spans="2:6" ht="15" customHeight="1" x14ac:dyDescent="0.35">
      <c r="B119" s="22">
        <v>0</v>
      </c>
      <c r="C119" s="17"/>
      <c r="D119" s="17"/>
      <c r="E119" s="11"/>
      <c r="F119" s="12"/>
    </row>
    <row r="120" spans="2:6" ht="15" customHeight="1" x14ac:dyDescent="0.35">
      <c r="B120" s="22">
        <v>0</v>
      </c>
      <c r="C120" s="17"/>
      <c r="D120" s="17"/>
      <c r="E120" s="11"/>
      <c r="F120" s="12"/>
    </row>
    <row r="121" spans="2:6" ht="15" customHeight="1" x14ac:dyDescent="0.35">
      <c r="B121" s="22">
        <v>0</v>
      </c>
      <c r="C121" s="17"/>
      <c r="D121" s="17"/>
      <c r="E121" s="11"/>
      <c r="F121" s="12"/>
    </row>
    <row r="122" spans="2:6" ht="15" customHeight="1" x14ac:dyDescent="0.35">
      <c r="B122" s="22">
        <v>0</v>
      </c>
      <c r="C122" s="17"/>
      <c r="D122" s="17"/>
      <c r="E122" s="11"/>
      <c r="F122" s="12"/>
    </row>
    <row r="123" spans="2:6" ht="15" customHeight="1" x14ac:dyDescent="0.35">
      <c r="B123" s="22">
        <v>0</v>
      </c>
      <c r="C123" s="17"/>
      <c r="D123" s="17"/>
      <c r="E123" s="11"/>
      <c r="F123" s="12"/>
    </row>
    <row r="124" spans="2:6" ht="15" customHeight="1" x14ac:dyDescent="0.35">
      <c r="B124" s="22">
        <v>0</v>
      </c>
      <c r="C124" s="17"/>
      <c r="D124" s="17"/>
      <c r="E124" s="11"/>
      <c r="F124" s="12"/>
    </row>
    <row r="125" spans="2:6" ht="15" customHeight="1" x14ac:dyDescent="0.35">
      <c r="B125" s="22">
        <v>0</v>
      </c>
      <c r="C125" s="17"/>
      <c r="D125" s="17"/>
      <c r="E125" s="11"/>
      <c r="F125" s="12"/>
    </row>
    <row r="126" spans="2:6" ht="15" customHeight="1" x14ac:dyDescent="0.35">
      <c r="B126" s="22">
        <v>0</v>
      </c>
      <c r="C126" s="17"/>
      <c r="D126" s="17"/>
      <c r="E126" s="11"/>
      <c r="F126" s="12"/>
    </row>
    <row r="127" spans="2:6" ht="15" customHeight="1" x14ac:dyDescent="0.35">
      <c r="B127" s="22">
        <v>0</v>
      </c>
      <c r="C127" s="17"/>
      <c r="D127" s="17"/>
      <c r="E127" s="11"/>
      <c r="F127" s="12"/>
    </row>
    <row r="128" spans="2:6" ht="15" customHeight="1" x14ac:dyDescent="0.35">
      <c r="B128" s="22">
        <v>0</v>
      </c>
      <c r="C128" s="17"/>
      <c r="D128" s="17"/>
      <c r="E128" s="11"/>
      <c r="F128" s="12"/>
    </row>
    <row r="129" spans="2:6" ht="15" customHeight="1" x14ac:dyDescent="0.35">
      <c r="B129" s="22">
        <v>0</v>
      </c>
      <c r="C129" s="17"/>
      <c r="D129" s="17"/>
      <c r="E129" s="11"/>
      <c r="F129" s="12"/>
    </row>
    <row r="130" spans="2:6" ht="15" customHeight="1" x14ac:dyDescent="0.35">
      <c r="B130" s="22">
        <v>0</v>
      </c>
      <c r="C130" s="17"/>
      <c r="D130" s="17"/>
      <c r="E130" s="11"/>
      <c r="F130" s="12"/>
    </row>
    <row r="131" spans="2:6" ht="15" customHeight="1" x14ac:dyDescent="0.35">
      <c r="B131" s="22">
        <v>0</v>
      </c>
      <c r="C131" s="17"/>
      <c r="D131" s="17"/>
      <c r="E131" s="11"/>
      <c r="F131" s="12"/>
    </row>
    <row r="132" spans="2:6" ht="15" customHeight="1" x14ac:dyDescent="0.35">
      <c r="B132" s="22">
        <v>0</v>
      </c>
      <c r="C132" s="17"/>
      <c r="D132" s="17"/>
      <c r="E132" s="11"/>
      <c r="F132" s="12"/>
    </row>
    <row r="133" spans="2:6" ht="15" customHeight="1" x14ac:dyDescent="0.35">
      <c r="B133" s="22">
        <v>0</v>
      </c>
      <c r="C133" s="17"/>
      <c r="D133" s="17"/>
      <c r="E133" s="11"/>
      <c r="F133" s="12"/>
    </row>
    <row r="134" spans="2:6" ht="15" customHeight="1" x14ac:dyDescent="0.35">
      <c r="B134" s="22">
        <v>0</v>
      </c>
      <c r="C134" s="17"/>
      <c r="D134" s="17"/>
      <c r="E134" s="11"/>
      <c r="F134" s="12"/>
    </row>
    <row r="135" spans="2:6" ht="15" customHeight="1" x14ac:dyDescent="0.35">
      <c r="B135" s="22">
        <v>0</v>
      </c>
      <c r="C135" s="17"/>
      <c r="D135" s="17"/>
      <c r="E135" s="11"/>
      <c r="F135" s="12"/>
    </row>
    <row r="136" spans="2:6" ht="15" customHeight="1" x14ac:dyDescent="0.35">
      <c r="B136" s="22">
        <v>0</v>
      </c>
      <c r="C136" s="17"/>
      <c r="D136" s="17"/>
      <c r="E136" s="11"/>
      <c r="F136" s="12"/>
    </row>
    <row r="137" spans="2:6" ht="15" customHeight="1" x14ac:dyDescent="0.35">
      <c r="B137" s="22">
        <v>0</v>
      </c>
      <c r="C137" s="17"/>
      <c r="D137" s="17"/>
      <c r="E137" s="11"/>
      <c r="F137" s="12"/>
    </row>
    <row r="138" spans="2:6" ht="15" customHeight="1" x14ac:dyDescent="0.35">
      <c r="B138" s="22">
        <v>0</v>
      </c>
      <c r="C138" s="17"/>
      <c r="D138" s="17"/>
      <c r="E138" s="11"/>
      <c r="F138" s="12"/>
    </row>
    <row r="139" spans="2:6" ht="15" customHeight="1" x14ac:dyDescent="0.35">
      <c r="B139" s="22">
        <v>0</v>
      </c>
      <c r="C139" s="17"/>
      <c r="D139" s="17"/>
      <c r="E139" s="11"/>
      <c r="F139" s="12"/>
    </row>
    <row r="140" spans="2:6" ht="15" customHeight="1" x14ac:dyDescent="0.35">
      <c r="B140" s="22">
        <v>0</v>
      </c>
      <c r="C140" s="17"/>
      <c r="D140" s="17"/>
      <c r="E140" s="11"/>
      <c r="F140" s="12"/>
    </row>
    <row r="141" spans="2:6" ht="15" customHeight="1" x14ac:dyDescent="0.35">
      <c r="B141" s="22">
        <v>0</v>
      </c>
      <c r="C141" s="17"/>
      <c r="D141" s="17"/>
      <c r="E141" s="11"/>
      <c r="F141" s="12"/>
    </row>
    <row r="142" spans="2:6" ht="15" customHeight="1" x14ac:dyDescent="0.35">
      <c r="B142" s="22">
        <v>0</v>
      </c>
      <c r="C142" s="17"/>
      <c r="D142" s="17"/>
      <c r="E142" s="11"/>
      <c r="F142" s="12"/>
    </row>
    <row r="143" spans="2:6" ht="15" customHeight="1" x14ac:dyDescent="0.35">
      <c r="B143" s="22">
        <v>0</v>
      </c>
      <c r="C143" s="17"/>
      <c r="D143" s="17"/>
      <c r="E143" s="11"/>
      <c r="F143" s="12"/>
    </row>
    <row r="144" spans="2:6" ht="15" customHeight="1" x14ac:dyDescent="0.35">
      <c r="B144" s="22">
        <v>0</v>
      </c>
      <c r="C144" s="17"/>
      <c r="D144" s="17"/>
      <c r="E144" s="11"/>
      <c r="F144" s="12"/>
    </row>
    <row r="145" spans="2:6" ht="15" customHeight="1" x14ac:dyDescent="0.35">
      <c r="B145" s="22">
        <v>0</v>
      </c>
      <c r="C145" s="17"/>
      <c r="D145" s="17"/>
      <c r="E145" s="11"/>
      <c r="F145" s="12"/>
    </row>
    <row r="146" spans="2:6" ht="15" customHeight="1" x14ac:dyDescent="0.35">
      <c r="B146" s="22">
        <v>0</v>
      </c>
      <c r="C146" s="17"/>
      <c r="D146" s="17"/>
      <c r="E146" s="11"/>
      <c r="F146" s="12"/>
    </row>
    <row r="147" spans="2:6" ht="15" customHeight="1" x14ac:dyDescent="0.35">
      <c r="B147" s="22">
        <v>0</v>
      </c>
      <c r="C147" s="17"/>
      <c r="D147" s="17"/>
      <c r="E147" s="11"/>
      <c r="F147" s="12"/>
    </row>
    <row r="148" spans="2:6" ht="15" customHeight="1" x14ac:dyDescent="0.35">
      <c r="B148" s="22">
        <v>0</v>
      </c>
      <c r="C148" s="17"/>
      <c r="D148" s="17"/>
      <c r="E148" s="11"/>
      <c r="F148" s="12"/>
    </row>
    <row r="149" spans="2:6" ht="15" customHeight="1" x14ac:dyDescent="0.35">
      <c r="B149" s="22">
        <v>0</v>
      </c>
      <c r="C149" s="17"/>
      <c r="D149" s="17"/>
      <c r="E149" s="11"/>
      <c r="F149" s="12"/>
    </row>
    <row r="150" spans="2:6" ht="15" customHeight="1" x14ac:dyDescent="0.35">
      <c r="B150" s="22">
        <v>0</v>
      </c>
      <c r="C150" s="17"/>
      <c r="D150" s="17"/>
      <c r="E150" s="11"/>
      <c r="F150" s="12"/>
    </row>
    <row r="151" spans="2:6" ht="15" customHeight="1" x14ac:dyDescent="0.35">
      <c r="B151" s="22">
        <v>0</v>
      </c>
      <c r="C151" s="17"/>
      <c r="D151" s="17"/>
      <c r="E151" s="11"/>
      <c r="F151" s="12"/>
    </row>
    <row r="152" spans="2:6" ht="15" customHeight="1" x14ac:dyDescent="0.35">
      <c r="B152" s="22">
        <v>0</v>
      </c>
      <c r="C152" s="17"/>
      <c r="D152" s="17"/>
      <c r="E152" s="11"/>
      <c r="F152" s="12"/>
    </row>
    <row r="153" spans="2:6" ht="15" customHeight="1" x14ac:dyDescent="0.35">
      <c r="B153" s="22">
        <v>0</v>
      </c>
      <c r="C153" s="17"/>
      <c r="D153" s="17"/>
      <c r="E153" s="11"/>
      <c r="F153" s="12"/>
    </row>
    <row r="154" spans="2:6" ht="15" customHeight="1" x14ac:dyDescent="0.35">
      <c r="B154" s="22">
        <v>0</v>
      </c>
      <c r="C154" s="17"/>
      <c r="D154" s="17"/>
      <c r="E154" s="11"/>
      <c r="F154" s="12"/>
    </row>
    <row r="155" spans="2:6" ht="15" customHeight="1" x14ac:dyDescent="0.35">
      <c r="B155" s="22">
        <v>0</v>
      </c>
      <c r="C155" s="17"/>
      <c r="D155" s="17"/>
      <c r="E155" s="11"/>
      <c r="F155" s="12"/>
    </row>
    <row r="156" spans="2:6" ht="15" customHeight="1" x14ac:dyDescent="0.35">
      <c r="B156" s="22">
        <v>0</v>
      </c>
      <c r="C156" s="17"/>
      <c r="D156" s="17"/>
      <c r="E156" s="11"/>
      <c r="F156" s="12"/>
    </row>
    <row r="157" spans="2:6" ht="15" customHeight="1" x14ac:dyDescent="0.35">
      <c r="B157" s="22">
        <v>0</v>
      </c>
      <c r="C157" s="17"/>
      <c r="D157" s="17"/>
      <c r="E157" s="11"/>
      <c r="F157" s="12"/>
    </row>
    <row r="158" spans="2:6" ht="15" customHeight="1" x14ac:dyDescent="0.35">
      <c r="B158" s="22">
        <v>0</v>
      </c>
      <c r="C158" s="17"/>
      <c r="D158" s="17"/>
      <c r="E158" s="11"/>
      <c r="F158" s="12"/>
    </row>
    <row r="159" spans="2:6" ht="15" customHeight="1" x14ac:dyDescent="0.35">
      <c r="B159" s="22">
        <v>0</v>
      </c>
      <c r="C159" s="17"/>
      <c r="D159" s="17"/>
      <c r="E159" s="11"/>
      <c r="F159" s="12"/>
    </row>
    <row r="160" spans="2:6" ht="15" customHeight="1" x14ac:dyDescent="0.35">
      <c r="B160" s="22">
        <v>0</v>
      </c>
      <c r="C160" s="17"/>
      <c r="D160" s="17"/>
      <c r="E160" s="11"/>
      <c r="F160" s="12"/>
    </row>
    <row r="161" spans="2:6" ht="15" customHeight="1" x14ac:dyDescent="0.35">
      <c r="B161" s="22">
        <v>0</v>
      </c>
      <c r="C161" s="17"/>
      <c r="D161" s="17"/>
      <c r="E161" s="11"/>
      <c r="F161" s="12"/>
    </row>
    <row r="162" spans="2:6" ht="15" customHeight="1" x14ac:dyDescent="0.35">
      <c r="B162" s="22">
        <v>0</v>
      </c>
      <c r="C162" s="17"/>
      <c r="D162" s="17"/>
      <c r="E162" s="11"/>
      <c r="F162" s="12"/>
    </row>
    <row r="163" spans="2:6" ht="15" customHeight="1" x14ac:dyDescent="0.35">
      <c r="B163" s="22">
        <v>0</v>
      </c>
      <c r="C163" s="17"/>
      <c r="D163" s="17"/>
      <c r="E163" s="11"/>
      <c r="F163" s="12"/>
    </row>
    <row r="164" spans="2:6" ht="15" customHeight="1" x14ac:dyDescent="0.35">
      <c r="B164" s="22">
        <v>0</v>
      </c>
      <c r="C164" s="17"/>
      <c r="D164" s="17"/>
      <c r="E164" s="11"/>
      <c r="F164" s="12"/>
    </row>
  </sheetData>
  <mergeCells count="5">
    <mergeCell ref="E3:F3"/>
    <mergeCell ref="E4:F4"/>
    <mergeCell ref="B6:F6"/>
    <mergeCell ref="B3:D3"/>
    <mergeCell ref="B4:D4"/>
  </mergeCells>
  <conditionalFormatting sqref="B8:B164">
    <cfRule type="dataBar" priority="2">
      <dataBar>
        <cfvo type="num" val="0"/>
        <cfvo type="num" val="1"/>
        <color rgb="FF00B050"/>
      </dataBar>
      <extLst>
        <ext xmlns:x14="http://schemas.microsoft.com/office/spreadsheetml/2009/9/main" uri="{B025F937-C7B1-47D3-B67F-A62EFF666E3E}">
          <x14:id>{00000000-000E-0000-0000-000002000000}</x14:id>
        </ext>
      </extLst>
    </cfRule>
  </conditionalFormatting>
  <dataValidations count="14">
    <dataValidation type="list" allowBlank="1" showInputMessage="1" showErrorMessage="1" sqref="E22:E164">
      <formula1>"Gateway -ED1183_Gateway.sadb in Project,Gateway -ED1183_Gateway.sadb in BSA,Auxiliary -ED1191_Auxiliary.sadb in Project,Auxiliary -ED1191_Auxiliary.sadb in BSA,Auxiliary -ED1027_Master.sadb"</formula1>
    </dataValidation>
    <dataValidation allowBlank="1" showInputMessage="1" showErrorMessage="1" prompt="Enter Notes in this column under this heading" sqref="F7"/>
    <dataValidation allowBlank="1" showInputMessage="1" showErrorMessage="1" prompt="Enter project Phase in this column under this heading" sqref="C7:D7"/>
    <dataValidation allowBlank="1" showInputMessage="1" showErrorMessage="1" prompt="Enter Percent done in this column under this heading. Data bar showing Percent done is automatically updated in each row. Use heading filters to find specific entries" sqref="B7"/>
    <dataValidation allowBlank="1" showInputMessage="1" showErrorMessage="1" prompt="Enter deadline Date in this cell" sqref="E4"/>
    <dataValidation allowBlank="1" showInputMessage="1" showErrorMessage="1" prompt="Enter To be completed by person Name in this cell" sqref="E3:F3"/>
    <dataValidation allowBlank="1" showInputMessage="1" showErrorMessage="1" prompt="Title of worksheet is in this cell. Enter Name of person to complete this project in cell D3 and deadline Date in cell D4. Enter project details in table starting in cell B7" sqref="B1"/>
    <dataValidation allowBlank="1" showInputMessage="1" showErrorMessage="1" prompt="Create a To-do list for projects in this workbook. Enter project details for Project 1 in this worksheet and details of Project 2 and Project 3 in subsequent worksheets" sqref="A1 G1"/>
    <dataValidation allowBlank="1" showInputMessage="1" showErrorMessage="1" prompt="Enter deadline Date in cell at right" sqref="B4"/>
    <dataValidation allowBlank="1" showInputMessage="1" showErrorMessage="1" prompt="Enter To be completed by person Name in cell at right" sqref="B3"/>
    <dataValidation allowBlank="1" showInputMessage="1" showErrorMessage="1" prompt="Enter Due By date in this column under this heading" sqref="E7"/>
    <dataValidation allowBlank="1" showInputMessage="1" showErrorMessage="1" prompt="Enter details of Project 1 in table below" sqref="B6:F6"/>
    <dataValidation type="list" allowBlank="1" showInputMessage="1" showErrorMessage="1" sqref="D12:D13">
      <formula1>"MatLab,Simulink,IAR,SADB,Controller"</formula1>
    </dataValidation>
    <dataValidation type="list" allowBlank="1" showInputMessage="1" showErrorMessage="1" sqref="D14:D164">
      <formula1>OFFSET($B$2,,,COUNTA($B$2:$B$101),)</formula1>
    </dataValidation>
  </dataValidations>
  <printOptions horizontalCentered="1"/>
  <pageMargins left="0.5" right="0.5" top="0.5" bottom="0.5" header="0.25" footer="0.25"/>
  <pageSetup scale="90" fitToHeight="0" orientation="portrait" r:id="rId1"/>
  <headerFooter differentFirst="1">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00000000-000E-0000-0000-000002000000}">
            <x14:dataBar minLength="0" maxLength="100" border="1" gradient="0">
              <x14:cfvo type="num">
                <xm:f>0</xm:f>
              </x14:cfvo>
              <x14:cfvo type="num">
                <xm:f>1</xm:f>
              </x14:cfvo>
              <x14:borderColor rgb="FF00B050"/>
              <x14:negativeFillColor rgb="FFFF0000"/>
              <x14:axisColor rgb="FF000000"/>
            </x14:dataBar>
          </x14:cfRule>
          <xm:sqref>B8:B164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14:formula1>
            <xm:f>OFFSET(Tables!$A$2,,,COUNTA(Tables!$A$2:$A$101),)</xm:f>
          </x14:formula1>
          <xm:sqref>C8:C164</xm:sqref>
        </x14:dataValidation>
        <x14:dataValidation type="list" allowBlank="1" showInputMessage="1" showErrorMessage="1">
          <x14:formula1>
            <xm:f>OFFSET(Tables!$B$2,,,COUNTA(Tables!$B$2:$B$101),)</xm:f>
          </x14:formula1>
          <xm:sqref>D8:D11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79998168889431442"/>
  </sheetPr>
  <dimension ref="B1:E165"/>
  <sheetViews>
    <sheetView workbookViewId="0">
      <selection activeCell="E12" sqref="E12"/>
    </sheetView>
  </sheetViews>
  <sheetFormatPr defaultColWidth="9.125" defaultRowHeight="15" x14ac:dyDescent="0.35"/>
  <cols>
    <col min="1" max="1" width="2.75" customWidth="1"/>
    <col min="2" max="2" width="11.125" bestFit="1" customWidth="1"/>
    <col min="3" max="3" width="11.25" bestFit="1" customWidth="1"/>
    <col min="4" max="4" width="11.875" bestFit="1" customWidth="1"/>
    <col min="5" max="5" width="190.5" customWidth="1"/>
    <col min="6" max="6" width="2.75" customWidth="1"/>
  </cols>
  <sheetData>
    <row r="1" spans="2:5" s="1" customFormat="1" ht="42.75" customHeight="1" x14ac:dyDescent="0.5">
      <c r="B1" s="42" t="s">
        <v>81</v>
      </c>
      <c r="C1" s="42"/>
      <c r="D1" s="42"/>
      <c r="E1" s="2"/>
    </row>
    <row r="2" spans="2:5" ht="15" customHeight="1" x14ac:dyDescent="0.35"/>
    <row r="3" spans="2:5" s="1" customFormat="1" ht="18" customHeight="1" x14ac:dyDescent="0.35">
      <c r="B3" s="40"/>
      <c r="C3" s="40"/>
      <c r="D3" s="40"/>
      <c r="E3" s="27"/>
    </row>
    <row r="4" spans="2:5" s="1" customFormat="1" ht="18" customHeight="1" x14ac:dyDescent="0.35">
      <c r="B4" s="40"/>
      <c r="C4" s="40"/>
      <c r="D4" s="40"/>
      <c r="E4" s="28"/>
    </row>
    <row r="5" spans="2:5" ht="15" customHeight="1" x14ac:dyDescent="0.35"/>
    <row r="6" spans="2:5" s="1" customFormat="1" ht="30" customHeight="1" x14ac:dyDescent="0.4">
      <c r="B6" s="39"/>
      <c r="C6" s="39"/>
      <c r="D6" s="39"/>
      <c r="E6" s="39"/>
    </row>
    <row r="7" spans="2:5" s="1" customFormat="1" ht="30" customHeight="1" x14ac:dyDescent="0.35">
      <c r="B7" s="3" t="s">
        <v>80</v>
      </c>
      <c r="C7" s="3" t="s">
        <v>82</v>
      </c>
      <c r="D7" s="3" t="s">
        <v>83</v>
      </c>
      <c r="E7" s="3" t="s">
        <v>84</v>
      </c>
    </row>
    <row r="8" spans="2:5" s="1" customFormat="1" x14ac:dyDescent="0.35">
      <c r="B8" s="31">
        <v>43341</v>
      </c>
      <c r="C8" s="17" t="s">
        <v>89</v>
      </c>
      <c r="D8" s="34">
        <v>3</v>
      </c>
      <c r="E8" s="17" t="s">
        <v>85</v>
      </c>
    </row>
    <row r="9" spans="2:5" s="1" customFormat="1" x14ac:dyDescent="0.35">
      <c r="B9" s="31">
        <v>43341</v>
      </c>
      <c r="C9" s="17" t="s">
        <v>89</v>
      </c>
      <c r="D9" s="34">
        <v>3</v>
      </c>
      <c r="E9" s="17" t="s">
        <v>88</v>
      </c>
    </row>
    <row r="10" spans="2:5" s="1" customFormat="1" x14ac:dyDescent="0.35">
      <c r="B10" s="31">
        <v>43341</v>
      </c>
      <c r="C10" s="17" t="s">
        <v>89</v>
      </c>
      <c r="D10" s="34">
        <v>4</v>
      </c>
      <c r="E10" s="17"/>
    </row>
    <row r="11" spans="2:5" s="1" customFormat="1" x14ac:dyDescent="0.35">
      <c r="B11" s="31">
        <v>43341</v>
      </c>
      <c r="C11" s="17" t="s">
        <v>89</v>
      </c>
      <c r="D11" s="34">
        <v>4</v>
      </c>
      <c r="E11" s="17" t="s">
        <v>93</v>
      </c>
    </row>
    <row r="12" spans="2:5" s="1" customFormat="1" x14ac:dyDescent="0.35">
      <c r="B12" s="31">
        <v>43346</v>
      </c>
      <c r="C12" s="17" t="s">
        <v>89</v>
      </c>
      <c r="D12" s="34">
        <v>4</v>
      </c>
      <c r="E12" s="17" t="s">
        <v>96</v>
      </c>
    </row>
    <row r="13" spans="2:5" s="1" customFormat="1" x14ac:dyDescent="0.35">
      <c r="B13" s="32"/>
      <c r="C13" s="17"/>
      <c r="D13" s="34"/>
      <c r="E13" s="17"/>
    </row>
    <row r="14" spans="2:5" s="1" customFormat="1" x14ac:dyDescent="0.35">
      <c r="B14" s="31"/>
      <c r="C14" s="17"/>
      <c r="D14" s="34"/>
      <c r="E14" s="30"/>
    </row>
    <row r="15" spans="2:5" s="1" customFormat="1" x14ac:dyDescent="0.35">
      <c r="B15" s="32"/>
      <c r="C15" s="17"/>
      <c r="D15" s="34"/>
      <c r="E15" s="17"/>
    </row>
    <row r="16" spans="2:5" s="1" customFormat="1" x14ac:dyDescent="0.35">
      <c r="B16" s="31"/>
      <c r="C16" s="17"/>
      <c r="D16" s="34"/>
      <c r="E16" s="30"/>
    </row>
    <row r="17" spans="2:5" ht="49.8" customHeight="1" x14ac:dyDescent="0.35">
      <c r="B17" s="32"/>
      <c r="C17" s="17"/>
      <c r="D17" s="34"/>
      <c r="E17" s="29"/>
    </row>
    <row r="18" spans="2:5" x14ac:dyDescent="0.35">
      <c r="B18" s="31"/>
      <c r="C18" s="17"/>
      <c r="D18" s="34"/>
      <c r="E18" s="16"/>
    </row>
    <row r="19" spans="2:5" x14ac:dyDescent="0.35">
      <c r="B19" s="32"/>
      <c r="C19" s="17"/>
      <c r="D19" s="34"/>
      <c r="E19" s="17"/>
    </row>
    <row r="20" spans="2:5" x14ac:dyDescent="0.35">
      <c r="B20" s="31"/>
      <c r="C20" s="17"/>
      <c r="D20" s="34"/>
      <c r="E20" s="17"/>
    </row>
    <row r="21" spans="2:5" x14ac:dyDescent="0.35">
      <c r="B21" s="32"/>
      <c r="C21" s="17"/>
      <c r="D21" s="34"/>
      <c r="E21" s="18"/>
    </row>
    <row r="22" spans="2:5" x14ac:dyDescent="0.35">
      <c r="B22" s="31"/>
      <c r="C22" s="17"/>
      <c r="D22" s="34"/>
      <c r="E22" s="18"/>
    </row>
    <row r="23" spans="2:5" x14ac:dyDescent="0.35">
      <c r="B23" s="32"/>
      <c r="C23" s="17"/>
      <c r="D23" s="34"/>
      <c r="E23" s="17"/>
    </row>
    <row r="24" spans="2:5" x14ac:dyDescent="0.35">
      <c r="B24" s="31"/>
      <c r="C24" s="17"/>
      <c r="D24" s="34"/>
      <c r="E24" s="17"/>
    </row>
    <row r="25" spans="2:5" x14ac:dyDescent="0.35">
      <c r="B25" s="32"/>
      <c r="C25" s="17"/>
      <c r="D25" s="34"/>
      <c r="E25" s="17"/>
    </row>
    <row r="26" spans="2:5" x14ac:dyDescent="0.35">
      <c r="B26" s="31"/>
      <c r="C26" s="17"/>
      <c r="D26" s="34"/>
      <c r="E26" s="17"/>
    </row>
    <row r="27" spans="2:5" x14ac:dyDescent="0.35">
      <c r="B27" s="32"/>
      <c r="C27" s="17"/>
      <c r="D27" s="34"/>
      <c r="E27" s="17"/>
    </row>
    <row r="28" spans="2:5" x14ac:dyDescent="0.35">
      <c r="B28" s="31"/>
      <c r="C28" s="17"/>
      <c r="D28" s="34"/>
      <c r="E28" s="18"/>
    </row>
    <row r="29" spans="2:5" x14ac:dyDescent="0.35">
      <c r="B29" s="32"/>
      <c r="C29" s="17"/>
      <c r="D29" s="34"/>
      <c r="E29" s="18"/>
    </row>
    <row r="30" spans="2:5" x14ac:dyDescent="0.35">
      <c r="B30" s="31"/>
      <c r="C30" s="17"/>
      <c r="D30" s="34"/>
      <c r="E30" s="17"/>
    </row>
    <row r="31" spans="2:5" x14ac:dyDescent="0.35">
      <c r="B31" s="32"/>
      <c r="C31" s="17"/>
      <c r="D31" s="34"/>
      <c r="E31" s="17"/>
    </row>
    <row r="32" spans="2:5" x14ac:dyDescent="0.35">
      <c r="B32" s="31"/>
      <c r="C32" s="17"/>
      <c r="D32" s="34"/>
      <c r="E32" s="17"/>
    </row>
    <row r="33" spans="2:5" x14ac:dyDescent="0.35">
      <c r="B33" s="32"/>
      <c r="C33" s="17"/>
      <c r="D33" s="34"/>
      <c r="E33" s="17"/>
    </row>
    <row r="34" spans="2:5" x14ac:dyDescent="0.35">
      <c r="B34" s="31"/>
      <c r="C34" s="17"/>
      <c r="D34" s="34"/>
      <c r="E34" s="17"/>
    </row>
    <row r="35" spans="2:5" x14ac:dyDescent="0.35">
      <c r="B35" s="32"/>
      <c r="C35" s="17"/>
      <c r="D35" s="34"/>
      <c r="E35" s="17"/>
    </row>
    <row r="36" spans="2:5" ht="15" customHeight="1" x14ac:dyDescent="0.35">
      <c r="B36" s="31"/>
      <c r="C36" s="17"/>
      <c r="D36" s="34"/>
      <c r="E36" s="17"/>
    </row>
    <row r="37" spans="2:5" ht="15" customHeight="1" x14ac:dyDescent="0.35">
      <c r="B37" s="32"/>
      <c r="C37" s="17"/>
      <c r="D37" s="34"/>
      <c r="E37" s="17"/>
    </row>
    <row r="38" spans="2:5" ht="15" customHeight="1" x14ac:dyDescent="0.35">
      <c r="B38" s="31"/>
      <c r="C38" s="17"/>
      <c r="D38" s="34"/>
      <c r="E38" s="18"/>
    </row>
    <row r="39" spans="2:5" ht="15" customHeight="1" x14ac:dyDescent="0.35">
      <c r="B39" s="32"/>
      <c r="C39" s="17"/>
      <c r="D39" s="34"/>
      <c r="E39" s="18"/>
    </row>
    <row r="40" spans="2:5" ht="15" customHeight="1" x14ac:dyDescent="0.35">
      <c r="B40" s="31"/>
      <c r="C40" s="17"/>
      <c r="D40" s="34"/>
      <c r="E40" s="18"/>
    </row>
    <row r="41" spans="2:5" ht="15" customHeight="1" x14ac:dyDescent="0.35">
      <c r="B41" s="32"/>
      <c r="C41" s="17"/>
      <c r="D41" s="34"/>
      <c r="E41" s="18"/>
    </row>
    <row r="42" spans="2:5" ht="15" customHeight="1" x14ac:dyDescent="0.35">
      <c r="B42" s="31"/>
      <c r="C42" s="17"/>
      <c r="D42" s="34"/>
      <c r="E42" s="18"/>
    </row>
    <row r="43" spans="2:5" ht="15" customHeight="1" x14ac:dyDescent="0.35">
      <c r="B43" s="32"/>
      <c r="C43" s="17"/>
      <c r="D43" s="34"/>
      <c r="E43" s="18"/>
    </row>
    <row r="44" spans="2:5" ht="15" customHeight="1" x14ac:dyDescent="0.35">
      <c r="B44" s="31"/>
      <c r="C44" s="17"/>
      <c r="D44" s="34"/>
      <c r="E44" s="18"/>
    </row>
    <row r="45" spans="2:5" ht="15" customHeight="1" x14ac:dyDescent="0.35">
      <c r="B45" s="32"/>
      <c r="C45" s="17"/>
      <c r="D45" s="34"/>
      <c r="E45" s="18"/>
    </row>
    <row r="46" spans="2:5" ht="15" customHeight="1" x14ac:dyDescent="0.35">
      <c r="B46" s="31"/>
      <c r="C46" s="17"/>
      <c r="D46" s="34"/>
      <c r="E46" s="18"/>
    </row>
    <row r="47" spans="2:5" ht="15" customHeight="1" x14ac:dyDescent="0.35">
      <c r="B47" s="32"/>
      <c r="C47" s="17"/>
      <c r="D47" s="34"/>
      <c r="E47" s="18"/>
    </row>
    <row r="48" spans="2:5" ht="15" customHeight="1" x14ac:dyDescent="0.35">
      <c r="B48" s="31"/>
      <c r="C48" s="17"/>
      <c r="D48" s="34"/>
      <c r="E48" s="18"/>
    </row>
    <row r="49" spans="2:5" ht="15" customHeight="1" x14ac:dyDescent="0.35">
      <c r="B49" s="32"/>
      <c r="C49" s="17"/>
      <c r="D49" s="34"/>
      <c r="E49" s="18"/>
    </row>
    <row r="50" spans="2:5" ht="15" customHeight="1" x14ac:dyDescent="0.35">
      <c r="B50" s="31"/>
      <c r="C50" s="17"/>
      <c r="D50" s="34"/>
      <c r="E50" s="18"/>
    </row>
    <row r="51" spans="2:5" ht="15" customHeight="1" x14ac:dyDescent="0.35">
      <c r="B51" s="32"/>
      <c r="C51" s="17"/>
      <c r="D51" s="34"/>
      <c r="E51" s="18"/>
    </row>
    <row r="52" spans="2:5" ht="15" customHeight="1" x14ac:dyDescent="0.35">
      <c r="B52" s="31"/>
      <c r="C52" s="17"/>
      <c r="D52" s="34"/>
      <c r="E52" s="18"/>
    </row>
    <row r="53" spans="2:5" ht="15" customHeight="1" x14ac:dyDescent="0.35">
      <c r="B53" s="32"/>
      <c r="C53" s="17"/>
      <c r="D53" s="34"/>
      <c r="E53" s="18"/>
    </row>
    <row r="54" spans="2:5" ht="15" customHeight="1" x14ac:dyDescent="0.35">
      <c r="B54" s="31"/>
      <c r="C54" s="17"/>
      <c r="D54" s="34"/>
      <c r="E54" s="18"/>
    </row>
    <row r="55" spans="2:5" ht="15" customHeight="1" x14ac:dyDescent="0.35">
      <c r="B55" s="32"/>
      <c r="C55" s="17"/>
      <c r="D55" s="34"/>
      <c r="E55" s="18"/>
    </row>
    <row r="56" spans="2:5" ht="15" customHeight="1" x14ac:dyDescent="0.35">
      <c r="B56" s="31"/>
      <c r="C56" s="17"/>
      <c r="D56" s="34"/>
      <c r="E56" s="18"/>
    </row>
    <row r="57" spans="2:5" ht="15" customHeight="1" x14ac:dyDescent="0.35">
      <c r="B57" s="32"/>
      <c r="C57" s="17"/>
      <c r="D57" s="34"/>
      <c r="E57" s="18"/>
    </row>
    <row r="58" spans="2:5" ht="15" customHeight="1" x14ac:dyDescent="0.35">
      <c r="B58" s="31"/>
      <c r="C58" s="17"/>
      <c r="D58" s="34"/>
      <c r="E58" s="18"/>
    </row>
    <row r="59" spans="2:5" ht="15" customHeight="1" x14ac:dyDescent="0.35">
      <c r="B59" s="32"/>
      <c r="C59" s="17"/>
      <c r="D59" s="34"/>
      <c r="E59" s="18"/>
    </row>
    <row r="60" spans="2:5" ht="15" customHeight="1" x14ac:dyDescent="0.35">
      <c r="B60" s="31"/>
      <c r="C60" s="17"/>
      <c r="D60" s="34"/>
      <c r="E60" s="18"/>
    </row>
    <row r="61" spans="2:5" ht="15" customHeight="1" x14ac:dyDescent="0.35">
      <c r="B61" s="32"/>
      <c r="C61" s="17"/>
      <c r="D61" s="34"/>
      <c r="E61" s="18"/>
    </row>
    <row r="62" spans="2:5" ht="15" customHeight="1" x14ac:dyDescent="0.35">
      <c r="B62" s="31"/>
      <c r="C62" s="17"/>
      <c r="D62" s="34"/>
      <c r="E62" s="18"/>
    </row>
    <row r="63" spans="2:5" ht="15" customHeight="1" x14ac:dyDescent="0.35">
      <c r="B63" s="32"/>
      <c r="C63" s="17"/>
      <c r="D63" s="34"/>
      <c r="E63" s="18"/>
    </row>
    <row r="64" spans="2:5" ht="15" customHeight="1" x14ac:dyDescent="0.35">
      <c r="B64" s="31"/>
      <c r="C64" s="17"/>
      <c r="D64" s="34"/>
      <c r="E64" s="18"/>
    </row>
    <row r="65" spans="2:5" ht="15" customHeight="1" x14ac:dyDescent="0.35">
      <c r="B65" s="32"/>
      <c r="C65" s="17"/>
      <c r="D65" s="34"/>
      <c r="E65" s="18"/>
    </row>
    <row r="66" spans="2:5" ht="15" customHeight="1" x14ac:dyDescent="0.35">
      <c r="B66" s="31"/>
      <c r="C66" s="17"/>
      <c r="D66" s="34"/>
      <c r="E66" s="18"/>
    </row>
    <row r="67" spans="2:5" ht="15" customHeight="1" x14ac:dyDescent="0.35">
      <c r="B67" s="32"/>
      <c r="C67" s="17"/>
      <c r="D67" s="34"/>
      <c r="E67" s="18"/>
    </row>
    <row r="68" spans="2:5" ht="15" customHeight="1" x14ac:dyDescent="0.35">
      <c r="B68" s="31"/>
      <c r="C68" s="17"/>
      <c r="D68" s="34"/>
      <c r="E68" s="18"/>
    </row>
    <row r="69" spans="2:5" ht="15" customHeight="1" x14ac:dyDescent="0.35">
      <c r="B69" s="32"/>
      <c r="C69" s="17"/>
      <c r="D69" s="34"/>
      <c r="E69" s="18"/>
    </row>
    <row r="70" spans="2:5" ht="15" customHeight="1" x14ac:dyDescent="0.35">
      <c r="B70" s="31"/>
      <c r="C70" s="17"/>
      <c r="D70" s="34"/>
      <c r="E70" s="18"/>
    </row>
    <row r="71" spans="2:5" ht="15" customHeight="1" x14ac:dyDescent="0.35">
      <c r="B71" s="32"/>
      <c r="C71" s="17"/>
      <c r="D71" s="34"/>
      <c r="E71" s="18"/>
    </row>
    <row r="72" spans="2:5" ht="15" customHeight="1" x14ac:dyDescent="0.35">
      <c r="B72" s="31"/>
      <c r="C72" s="17"/>
      <c r="D72" s="34"/>
      <c r="E72" s="18"/>
    </row>
    <row r="73" spans="2:5" ht="15" customHeight="1" x14ac:dyDescent="0.35">
      <c r="B73" s="32"/>
      <c r="C73" s="17"/>
      <c r="D73" s="34"/>
      <c r="E73" s="18"/>
    </row>
    <row r="74" spans="2:5" ht="15" customHeight="1" x14ac:dyDescent="0.35">
      <c r="B74" s="31"/>
      <c r="C74" s="17"/>
      <c r="D74" s="34"/>
      <c r="E74" s="18"/>
    </row>
    <row r="75" spans="2:5" ht="15" customHeight="1" x14ac:dyDescent="0.35">
      <c r="B75" s="32"/>
      <c r="C75" s="17"/>
      <c r="D75" s="34"/>
      <c r="E75" s="18"/>
    </row>
    <row r="76" spans="2:5" ht="15" customHeight="1" x14ac:dyDescent="0.35">
      <c r="B76" s="31"/>
      <c r="C76" s="17"/>
      <c r="D76" s="34"/>
      <c r="E76" s="18"/>
    </row>
    <row r="77" spans="2:5" ht="15" customHeight="1" x14ac:dyDescent="0.35">
      <c r="B77" s="32"/>
      <c r="C77" s="17"/>
      <c r="D77" s="34"/>
      <c r="E77" s="18"/>
    </row>
    <row r="78" spans="2:5" ht="15" customHeight="1" x14ac:dyDescent="0.35">
      <c r="B78" s="31"/>
      <c r="C78" s="17"/>
      <c r="D78" s="34"/>
      <c r="E78" s="18"/>
    </row>
    <row r="79" spans="2:5" ht="15" customHeight="1" x14ac:dyDescent="0.35">
      <c r="B79" s="32"/>
      <c r="C79" s="17"/>
      <c r="D79" s="34"/>
      <c r="E79" s="18"/>
    </row>
    <row r="80" spans="2:5" ht="15" customHeight="1" x14ac:dyDescent="0.35">
      <c r="B80" s="31"/>
      <c r="C80" s="17"/>
      <c r="D80" s="34"/>
      <c r="E80" s="18"/>
    </row>
    <row r="81" spans="2:5" ht="15" customHeight="1" x14ac:dyDescent="0.35">
      <c r="B81" s="32"/>
      <c r="C81" s="17"/>
      <c r="D81" s="34"/>
      <c r="E81" s="18"/>
    </row>
    <row r="82" spans="2:5" ht="15" customHeight="1" x14ac:dyDescent="0.35">
      <c r="B82" s="31"/>
      <c r="C82" s="17"/>
      <c r="D82" s="34"/>
      <c r="E82" s="18"/>
    </row>
    <row r="83" spans="2:5" ht="15" customHeight="1" x14ac:dyDescent="0.35">
      <c r="B83" s="32"/>
      <c r="C83" s="17"/>
      <c r="D83" s="34"/>
      <c r="E83" s="18"/>
    </row>
    <row r="84" spans="2:5" ht="15" customHeight="1" x14ac:dyDescent="0.35">
      <c r="B84" s="31"/>
      <c r="C84" s="17"/>
      <c r="D84" s="34"/>
      <c r="E84" s="18"/>
    </row>
    <row r="85" spans="2:5" ht="15" customHeight="1" x14ac:dyDescent="0.35">
      <c r="B85" s="32"/>
      <c r="C85" s="17"/>
      <c r="D85" s="34"/>
      <c r="E85" s="18"/>
    </row>
    <row r="86" spans="2:5" ht="15" customHeight="1" x14ac:dyDescent="0.35">
      <c r="B86" s="31"/>
      <c r="C86" s="17"/>
      <c r="D86" s="34"/>
      <c r="E86" s="18"/>
    </row>
    <row r="87" spans="2:5" ht="15" customHeight="1" x14ac:dyDescent="0.35">
      <c r="B87" s="32"/>
      <c r="C87" s="17"/>
      <c r="D87" s="34"/>
      <c r="E87" s="18"/>
    </row>
    <row r="88" spans="2:5" ht="15" customHeight="1" x14ac:dyDescent="0.35">
      <c r="B88" s="31"/>
      <c r="C88" s="17"/>
      <c r="D88" s="34"/>
      <c r="E88" s="18"/>
    </row>
    <row r="89" spans="2:5" ht="15" customHeight="1" x14ac:dyDescent="0.35">
      <c r="B89" s="32"/>
      <c r="C89" s="17"/>
      <c r="D89" s="34"/>
      <c r="E89" s="18"/>
    </row>
    <row r="90" spans="2:5" ht="15" customHeight="1" x14ac:dyDescent="0.35">
      <c r="B90" s="31"/>
      <c r="C90" s="17"/>
      <c r="D90" s="34"/>
      <c r="E90" s="18"/>
    </row>
    <row r="91" spans="2:5" ht="15" customHeight="1" x14ac:dyDescent="0.35">
      <c r="B91" s="32"/>
      <c r="C91" s="17"/>
      <c r="D91" s="34"/>
      <c r="E91" s="18"/>
    </row>
    <row r="92" spans="2:5" ht="15" customHeight="1" x14ac:dyDescent="0.35">
      <c r="B92" s="31"/>
      <c r="C92" s="17"/>
      <c r="D92" s="34"/>
      <c r="E92" s="18"/>
    </row>
    <row r="93" spans="2:5" ht="15" customHeight="1" x14ac:dyDescent="0.35">
      <c r="B93" s="32"/>
      <c r="C93" s="17"/>
      <c r="D93" s="34"/>
      <c r="E93" s="18"/>
    </row>
    <row r="94" spans="2:5" ht="15" customHeight="1" x14ac:dyDescent="0.35">
      <c r="B94" s="31"/>
      <c r="C94" s="17"/>
      <c r="D94" s="34"/>
      <c r="E94" s="18"/>
    </row>
    <row r="95" spans="2:5" ht="15" customHeight="1" x14ac:dyDescent="0.35">
      <c r="B95" s="32"/>
      <c r="C95" s="17"/>
      <c r="D95" s="34"/>
      <c r="E95" s="18"/>
    </row>
    <row r="96" spans="2:5" ht="15" customHeight="1" x14ac:dyDescent="0.35">
      <c r="B96" s="31"/>
      <c r="C96" s="17"/>
      <c r="D96" s="34"/>
      <c r="E96" s="18"/>
    </row>
    <row r="97" spans="2:5" ht="15" customHeight="1" x14ac:dyDescent="0.35">
      <c r="B97" s="32"/>
      <c r="C97" s="17"/>
      <c r="D97" s="34"/>
      <c r="E97" s="18"/>
    </row>
    <row r="98" spans="2:5" ht="15" customHeight="1" x14ac:dyDescent="0.35">
      <c r="B98" s="31"/>
      <c r="C98" s="17"/>
      <c r="D98" s="34"/>
      <c r="E98" s="18"/>
    </row>
    <row r="99" spans="2:5" ht="15" customHeight="1" x14ac:dyDescent="0.35">
      <c r="B99" s="32"/>
      <c r="C99" s="17"/>
      <c r="D99" s="34"/>
      <c r="E99" s="18"/>
    </row>
    <row r="100" spans="2:5" ht="15" customHeight="1" x14ac:dyDescent="0.35">
      <c r="B100" s="31"/>
      <c r="C100" s="17"/>
      <c r="D100" s="34"/>
      <c r="E100" s="18"/>
    </row>
    <row r="101" spans="2:5" ht="15" customHeight="1" x14ac:dyDescent="0.35">
      <c r="B101" s="32"/>
      <c r="C101" s="17"/>
      <c r="D101" s="34"/>
      <c r="E101" s="18"/>
    </row>
    <row r="102" spans="2:5" ht="15" customHeight="1" x14ac:dyDescent="0.35">
      <c r="B102" s="31"/>
      <c r="C102" s="17"/>
      <c r="D102" s="34"/>
      <c r="E102" s="18"/>
    </row>
    <row r="103" spans="2:5" ht="15" customHeight="1" x14ac:dyDescent="0.35">
      <c r="B103" s="32"/>
      <c r="C103" s="17"/>
      <c r="D103" s="34"/>
      <c r="E103" s="18"/>
    </row>
    <row r="104" spans="2:5" ht="15" customHeight="1" x14ac:dyDescent="0.35">
      <c r="B104" s="31"/>
      <c r="C104" s="17"/>
      <c r="D104" s="34"/>
      <c r="E104" s="18"/>
    </row>
    <row r="105" spans="2:5" ht="15" customHeight="1" x14ac:dyDescent="0.35">
      <c r="B105" s="32"/>
      <c r="C105" s="17"/>
      <c r="D105" s="34"/>
      <c r="E105" s="18"/>
    </row>
    <row r="106" spans="2:5" ht="15" customHeight="1" x14ac:dyDescent="0.35">
      <c r="B106" s="31"/>
      <c r="C106" s="17"/>
      <c r="D106" s="34"/>
      <c r="E106" s="18"/>
    </row>
    <row r="107" spans="2:5" ht="15" customHeight="1" x14ac:dyDescent="0.35">
      <c r="B107" s="32"/>
      <c r="C107" s="17"/>
      <c r="D107" s="34"/>
      <c r="E107" s="18"/>
    </row>
    <row r="108" spans="2:5" ht="15" customHeight="1" x14ac:dyDescent="0.35">
      <c r="B108" s="31"/>
      <c r="C108" s="17"/>
      <c r="D108" s="34"/>
      <c r="E108" s="18"/>
    </row>
    <row r="109" spans="2:5" ht="15" customHeight="1" x14ac:dyDescent="0.35">
      <c r="B109" s="32"/>
      <c r="C109" s="17"/>
      <c r="D109" s="34"/>
      <c r="E109" s="18"/>
    </row>
    <row r="110" spans="2:5" ht="15" customHeight="1" x14ac:dyDescent="0.35">
      <c r="B110" s="31"/>
      <c r="C110" s="17"/>
      <c r="D110" s="34"/>
      <c r="E110" s="18"/>
    </row>
    <row r="111" spans="2:5" ht="15" customHeight="1" x14ac:dyDescent="0.35">
      <c r="B111" s="32"/>
      <c r="C111" s="17"/>
      <c r="D111" s="34"/>
      <c r="E111" s="18"/>
    </row>
    <row r="112" spans="2:5" ht="15" customHeight="1" x14ac:dyDescent="0.35">
      <c r="B112" s="31"/>
      <c r="C112" s="17"/>
      <c r="D112" s="34"/>
      <c r="E112" s="18"/>
    </row>
    <row r="113" spans="2:5" ht="15" customHeight="1" x14ac:dyDescent="0.35">
      <c r="B113" s="32"/>
      <c r="C113" s="17"/>
      <c r="D113" s="34"/>
      <c r="E113" s="18"/>
    </row>
    <row r="114" spans="2:5" ht="15" customHeight="1" x14ac:dyDescent="0.35">
      <c r="B114" s="31"/>
      <c r="C114" s="17"/>
      <c r="D114" s="34"/>
      <c r="E114" s="18"/>
    </row>
    <row r="115" spans="2:5" ht="15" customHeight="1" x14ac:dyDescent="0.35">
      <c r="B115" s="32"/>
      <c r="C115" s="17"/>
      <c r="D115" s="34"/>
      <c r="E115" s="18"/>
    </row>
    <row r="116" spans="2:5" ht="15" customHeight="1" x14ac:dyDescent="0.35">
      <c r="B116" s="31"/>
      <c r="C116" s="17"/>
      <c r="D116" s="34"/>
      <c r="E116" s="18"/>
    </row>
    <row r="117" spans="2:5" ht="15" customHeight="1" x14ac:dyDescent="0.35">
      <c r="B117" s="32"/>
      <c r="C117" s="17"/>
      <c r="D117" s="34"/>
      <c r="E117" s="18"/>
    </row>
    <row r="118" spans="2:5" ht="15" customHeight="1" x14ac:dyDescent="0.35">
      <c r="B118" s="31"/>
      <c r="C118" s="17"/>
      <c r="D118" s="34"/>
      <c r="E118" s="18"/>
    </row>
    <row r="119" spans="2:5" ht="15" customHeight="1" x14ac:dyDescent="0.35">
      <c r="B119" s="32"/>
      <c r="C119" s="17"/>
      <c r="D119" s="34"/>
      <c r="E119" s="18"/>
    </row>
    <row r="120" spans="2:5" ht="15" customHeight="1" x14ac:dyDescent="0.35">
      <c r="B120" s="31"/>
      <c r="C120" s="17"/>
      <c r="D120" s="34"/>
      <c r="E120" s="18"/>
    </row>
    <row r="121" spans="2:5" ht="15" customHeight="1" x14ac:dyDescent="0.35">
      <c r="B121" s="32"/>
      <c r="C121" s="17"/>
      <c r="D121" s="34"/>
      <c r="E121" s="18"/>
    </row>
    <row r="122" spans="2:5" ht="15" customHeight="1" x14ac:dyDescent="0.35">
      <c r="B122" s="31"/>
      <c r="C122" s="17"/>
      <c r="D122" s="34"/>
      <c r="E122" s="18"/>
    </row>
    <row r="123" spans="2:5" ht="15" customHeight="1" x14ac:dyDescent="0.35">
      <c r="B123" s="32"/>
      <c r="C123" s="17"/>
      <c r="D123" s="34"/>
      <c r="E123" s="18"/>
    </row>
    <row r="124" spans="2:5" ht="15" customHeight="1" x14ac:dyDescent="0.35">
      <c r="B124" s="31"/>
      <c r="C124" s="17"/>
      <c r="D124" s="34"/>
      <c r="E124" s="18"/>
    </row>
    <row r="125" spans="2:5" ht="15" customHeight="1" x14ac:dyDescent="0.35">
      <c r="B125" s="32"/>
      <c r="C125" s="17"/>
      <c r="D125" s="34"/>
      <c r="E125" s="18"/>
    </row>
    <row r="126" spans="2:5" ht="15" customHeight="1" x14ac:dyDescent="0.35">
      <c r="B126" s="31"/>
      <c r="C126" s="17"/>
      <c r="D126" s="34"/>
      <c r="E126" s="18"/>
    </row>
    <row r="127" spans="2:5" ht="15" customHeight="1" x14ac:dyDescent="0.35">
      <c r="B127" s="32"/>
      <c r="C127" s="17"/>
      <c r="D127" s="34"/>
      <c r="E127" s="18"/>
    </row>
    <row r="128" spans="2:5" ht="15" customHeight="1" x14ac:dyDescent="0.35">
      <c r="B128" s="31"/>
      <c r="C128" s="17"/>
      <c r="D128" s="34"/>
      <c r="E128" s="18"/>
    </row>
    <row r="129" spans="2:5" ht="15" customHeight="1" x14ac:dyDescent="0.35">
      <c r="B129" s="32"/>
      <c r="C129" s="17"/>
      <c r="D129" s="34"/>
      <c r="E129" s="18"/>
    </row>
    <row r="130" spans="2:5" ht="15" customHeight="1" x14ac:dyDescent="0.35">
      <c r="B130" s="31"/>
      <c r="C130" s="17"/>
      <c r="D130" s="34"/>
      <c r="E130" s="18"/>
    </row>
    <row r="131" spans="2:5" ht="15" customHeight="1" x14ac:dyDescent="0.35">
      <c r="B131" s="32"/>
      <c r="C131" s="17"/>
      <c r="D131" s="34"/>
      <c r="E131" s="18"/>
    </row>
    <row r="132" spans="2:5" ht="15" customHeight="1" x14ac:dyDescent="0.35">
      <c r="B132" s="31"/>
      <c r="C132" s="17"/>
      <c r="D132" s="34"/>
      <c r="E132" s="18"/>
    </row>
    <row r="133" spans="2:5" ht="15" customHeight="1" x14ac:dyDescent="0.35">
      <c r="B133" s="32"/>
      <c r="C133" s="17"/>
      <c r="D133" s="34"/>
      <c r="E133" s="18"/>
    </row>
    <row r="134" spans="2:5" ht="15" customHeight="1" x14ac:dyDescent="0.35">
      <c r="B134" s="31"/>
      <c r="C134" s="17"/>
      <c r="D134" s="34"/>
      <c r="E134" s="18"/>
    </row>
    <row r="135" spans="2:5" ht="15" customHeight="1" x14ac:dyDescent="0.35">
      <c r="B135" s="32"/>
      <c r="C135" s="17"/>
      <c r="D135" s="34"/>
      <c r="E135" s="18"/>
    </row>
    <row r="136" spans="2:5" ht="15" customHeight="1" x14ac:dyDescent="0.35">
      <c r="B136" s="31"/>
      <c r="C136" s="17"/>
      <c r="D136" s="34"/>
      <c r="E136" s="18"/>
    </row>
    <row r="137" spans="2:5" ht="15" customHeight="1" x14ac:dyDescent="0.35">
      <c r="B137" s="32"/>
      <c r="C137" s="17"/>
      <c r="D137" s="34"/>
      <c r="E137" s="18"/>
    </row>
    <row r="138" spans="2:5" ht="15" customHeight="1" x14ac:dyDescent="0.35">
      <c r="B138" s="31"/>
      <c r="C138" s="17"/>
      <c r="D138" s="34"/>
      <c r="E138" s="18"/>
    </row>
    <row r="139" spans="2:5" ht="15" customHeight="1" x14ac:dyDescent="0.35">
      <c r="B139" s="32"/>
      <c r="C139" s="17"/>
      <c r="D139" s="34"/>
      <c r="E139" s="18"/>
    </row>
    <row r="140" spans="2:5" ht="15" customHeight="1" x14ac:dyDescent="0.35">
      <c r="B140" s="31"/>
      <c r="C140" s="17"/>
      <c r="D140" s="34"/>
      <c r="E140" s="18"/>
    </row>
    <row r="141" spans="2:5" ht="15" customHeight="1" x14ac:dyDescent="0.35">
      <c r="B141" s="32"/>
      <c r="C141" s="17"/>
      <c r="D141" s="34"/>
      <c r="E141" s="18"/>
    </row>
    <row r="142" spans="2:5" ht="15" customHeight="1" x14ac:dyDescent="0.35">
      <c r="B142" s="31"/>
      <c r="C142" s="17"/>
      <c r="D142" s="34"/>
      <c r="E142" s="18"/>
    </row>
    <row r="143" spans="2:5" ht="15" customHeight="1" x14ac:dyDescent="0.35">
      <c r="B143" s="32"/>
      <c r="C143" s="17"/>
      <c r="D143" s="34"/>
      <c r="E143" s="18"/>
    </row>
    <row r="144" spans="2:5" ht="15" customHeight="1" x14ac:dyDescent="0.35">
      <c r="B144" s="31"/>
      <c r="C144" s="17"/>
      <c r="D144" s="34"/>
      <c r="E144" s="18"/>
    </row>
    <row r="145" spans="2:5" ht="15" customHeight="1" x14ac:dyDescent="0.35">
      <c r="B145" s="32"/>
      <c r="C145" s="17"/>
      <c r="D145" s="34"/>
      <c r="E145" s="18"/>
    </row>
    <row r="146" spans="2:5" ht="15" customHeight="1" x14ac:dyDescent="0.35">
      <c r="B146" s="31"/>
      <c r="C146" s="17"/>
      <c r="D146" s="34"/>
      <c r="E146" s="18"/>
    </row>
    <row r="147" spans="2:5" ht="15" customHeight="1" x14ac:dyDescent="0.35">
      <c r="B147" s="32"/>
      <c r="C147" s="17"/>
      <c r="D147" s="34"/>
      <c r="E147" s="18"/>
    </row>
    <row r="148" spans="2:5" ht="15" customHeight="1" x14ac:dyDescent="0.35">
      <c r="B148" s="31"/>
      <c r="C148" s="17"/>
      <c r="D148" s="34"/>
      <c r="E148" s="18"/>
    </row>
    <row r="149" spans="2:5" ht="15" customHeight="1" x14ac:dyDescent="0.35">
      <c r="B149" s="32"/>
      <c r="C149" s="17"/>
      <c r="D149" s="34"/>
      <c r="E149" s="18"/>
    </row>
    <row r="150" spans="2:5" ht="15" customHeight="1" x14ac:dyDescent="0.35">
      <c r="B150" s="31"/>
      <c r="C150" s="17"/>
      <c r="D150" s="34"/>
      <c r="E150" s="18"/>
    </row>
    <row r="151" spans="2:5" ht="15" customHeight="1" x14ac:dyDescent="0.35">
      <c r="B151" s="32"/>
      <c r="C151" s="17"/>
      <c r="D151" s="34"/>
      <c r="E151" s="18"/>
    </row>
    <row r="152" spans="2:5" ht="15" customHeight="1" x14ac:dyDescent="0.35">
      <c r="B152" s="31"/>
      <c r="C152" s="17"/>
      <c r="D152" s="34"/>
      <c r="E152" s="18"/>
    </row>
    <row r="153" spans="2:5" ht="15" customHeight="1" x14ac:dyDescent="0.35">
      <c r="B153" s="32"/>
      <c r="C153" s="17"/>
      <c r="D153" s="34"/>
      <c r="E153" s="18"/>
    </row>
    <row r="154" spans="2:5" ht="15" customHeight="1" x14ac:dyDescent="0.35">
      <c r="B154" s="31"/>
      <c r="C154" s="17"/>
      <c r="D154" s="34"/>
      <c r="E154" s="18"/>
    </row>
    <row r="155" spans="2:5" ht="15" customHeight="1" x14ac:dyDescent="0.35">
      <c r="B155" s="32"/>
      <c r="C155" s="17"/>
      <c r="D155" s="34"/>
      <c r="E155" s="18"/>
    </row>
    <row r="156" spans="2:5" ht="15" customHeight="1" x14ac:dyDescent="0.35">
      <c r="B156" s="31"/>
      <c r="C156" s="17"/>
      <c r="D156" s="34"/>
      <c r="E156" s="18"/>
    </row>
    <row r="157" spans="2:5" ht="15" customHeight="1" x14ac:dyDescent="0.35">
      <c r="B157" s="32"/>
      <c r="C157" s="17"/>
      <c r="D157" s="34"/>
      <c r="E157" s="18"/>
    </row>
    <row r="158" spans="2:5" ht="15" customHeight="1" x14ac:dyDescent="0.35">
      <c r="B158" s="31"/>
      <c r="C158" s="17"/>
      <c r="D158" s="34"/>
      <c r="E158" s="18"/>
    </row>
    <row r="159" spans="2:5" ht="15" customHeight="1" x14ac:dyDescent="0.35">
      <c r="B159" s="32"/>
      <c r="C159" s="17"/>
      <c r="D159" s="34"/>
      <c r="E159" s="18"/>
    </row>
    <row r="160" spans="2:5" ht="15" customHeight="1" x14ac:dyDescent="0.35">
      <c r="B160" s="31"/>
      <c r="C160" s="17"/>
      <c r="D160" s="34"/>
      <c r="E160" s="18"/>
    </row>
    <row r="161" spans="2:5" ht="15" customHeight="1" x14ac:dyDescent="0.35">
      <c r="B161" s="32"/>
      <c r="C161" s="17"/>
      <c r="D161" s="34"/>
      <c r="E161" s="18"/>
    </row>
    <row r="162" spans="2:5" ht="15" customHeight="1" x14ac:dyDescent="0.35">
      <c r="B162" s="31"/>
      <c r="C162" s="17"/>
      <c r="D162" s="34"/>
      <c r="E162" s="18"/>
    </row>
    <row r="163" spans="2:5" ht="15" customHeight="1" x14ac:dyDescent="0.35">
      <c r="B163" s="32"/>
      <c r="C163" s="17"/>
      <c r="D163" s="34"/>
      <c r="E163" s="18"/>
    </row>
    <row r="164" spans="2:5" ht="15" customHeight="1" x14ac:dyDescent="0.35">
      <c r="B164" s="31"/>
      <c r="C164" s="17"/>
      <c r="D164" s="34"/>
      <c r="E164" s="18"/>
    </row>
    <row r="165" spans="2:5" ht="15" customHeight="1" x14ac:dyDescent="0.35">
      <c r="B165" s="32"/>
      <c r="C165" s="17"/>
      <c r="D165" s="34"/>
      <c r="E165" s="18"/>
    </row>
  </sheetData>
  <mergeCells count="4">
    <mergeCell ref="B3:D3"/>
    <mergeCell ref="B4:D4"/>
    <mergeCell ref="B6:E6"/>
    <mergeCell ref="B1:D1"/>
  </mergeCells>
  <dataValidations count="10">
    <dataValidation allowBlank="1" showInputMessage="1" showErrorMessage="1" prompt="Enter project Phase in this column under this heading" sqref="C7:D7"/>
    <dataValidation allowBlank="1" showInputMessage="1" showErrorMessage="1" prompt="Enter Percent done in this column under this heading. Data bar showing Percent done is automatically updated in each row. Use heading filters to find specific entries" sqref="B7"/>
    <dataValidation allowBlank="1" showInputMessage="1" showErrorMessage="1" prompt="Enter deadline Date in this cell" sqref="E4"/>
    <dataValidation allowBlank="1" showInputMessage="1" showErrorMessage="1" prompt="Enter deadline Date in cell at right" sqref="B4"/>
    <dataValidation allowBlank="1" showInputMessage="1" showErrorMessage="1" prompt="Enter To be completed by person Name in this cell" sqref="E3"/>
    <dataValidation allowBlank="1" showInputMessage="1" showErrorMessage="1" prompt="Enter To be completed by person Name in cell at right" sqref="B3"/>
    <dataValidation allowBlank="1" showInputMessage="1" showErrorMessage="1" prompt="Title of worksheet is in this cell. Enter Name of person to complete this project in cell D3 and deadline Date in cell D4. Enter project details in table starting in cell B7" sqref="B1"/>
    <dataValidation allowBlank="1" showInputMessage="1" showErrorMessage="1" prompt="Create a To-do list for projects in this workbook. Enter project details for Project 1 in this worksheet and details of Project 2 and Project 3 in subsequent worksheets" sqref="A1 F1"/>
    <dataValidation allowBlank="1" showInputMessage="1" showErrorMessage="1" prompt="Enter Due By date in this column under this heading" sqref="E7"/>
    <dataValidation allowBlank="1" showInputMessage="1" showErrorMessage="1" prompt="Enter details of Project 1 in table below" sqref="B6:E6"/>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OFFSET(Tables!$G$2,,,COUNTA(Tables!$G$2:$G$101),)</xm:f>
          </x14:formula1>
          <xm:sqref>C8:C165</xm:sqref>
        </x14:dataValidation>
        <x14:dataValidation type="list" allowBlank="1" showInputMessage="1" showErrorMessage="1">
          <x14:formula1>
            <xm:f>OFFSET(Tables!$H$2,,,COUNTA(Tables!$H$2:$H$101),)</xm:f>
          </x14:formula1>
          <xm:sqref>D8:D165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79998168889431442"/>
  </sheetPr>
  <dimension ref="A1:Y25"/>
  <sheetViews>
    <sheetView workbookViewId="0">
      <selection activeCell="C1" sqref="C1"/>
    </sheetView>
  </sheetViews>
  <sheetFormatPr defaultRowHeight="15" x14ac:dyDescent="0.35"/>
  <cols>
    <col min="5" max="9" width="3.625" bestFit="1" customWidth="1"/>
    <col min="10" max="11" width="4.625" bestFit="1" customWidth="1"/>
    <col min="12" max="20" width="5.625" bestFit="1" customWidth="1"/>
    <col min="21" max="22" width="4.625" bestFit="1" customWidth="1"/>
    <col min="23" max="25" width="3.625" bestFit="1" customWidth="1"/>
  </cols>
  <sheetData>
    <row r="1" spans="1:25" x14ac:dyDescent="0.35">
      <c r="A1">
        <v>-10</v>
      </c>
      <c r="B1">
        <v>48</v>
      </c>
      <c r="C1" s="35">
        <v>0.05</v>
      </c>
    </row>
    <row r="2" spans="1:25" x14ac:dyDescent="0.35">
      <c r="A2">
        <v>3</v>
      </c>
      <c r="B2">
        <v>56</v>
      </c>
      <c r="C2" s="35">
        <v>0.15</v>
      </c>
    </row>
    <row r="3" spans="1:25" x14ac:dyDescent="0.35">
      <c r="A3" s="43" t="s">
        <v>100</v>
      </c>
      <c r="B3" s="43"/>
      <c r="C3" s="43" t="s">
        <v>101</v>
      </c>
      <c r="D3" s="43"/>
      <c r="E3" s="43" t="s">
        <v>102</v>
      </c>
      <c r="F3" s="43"/>
      <c r="G3" s="43"/>
      <c r="H3" s="43"/>
      <c r="I3" s="43"/>
      <c r="J3" s="43"/>
      <c r="K3" s="43"/>
      <c r="L3" s="43"/>
      <c r="M3" s="43"/>
      <c r="N3" s="43"/>
      <c r="O3" s="43"/>
      <c r="P3" s="43"/>
      <c r="Q3" s="43"/>
      <c r="R3" s="43"/>
      <c r="S3" s="43"/>
      <c r="T3" s="43"/>
      <c r="U3" s="43"/>
      <c r="V3" s="43"/>
      <c r="W3" s="43"/>
      <c r="X3" s="43"/>
      <c r="Y3" s="43"/>
    </row>
    <row r="4" spans="1:25" x14ac:dyDescent="0.35">
      <c r="A4" t="s">
        <v>97</v>
      </c>
      <c r="B4" t="s">
        <v>98</v>
      </c>
      <c r="C4" t="s">
        <v>97</v>
      </c>
      <c r="D4" t="s">
        <v>99</v>
      </c>
      <c r="E4">
        <v>-30</v>
      </c>
      <c r="F4">
        <v>-25</v>
      </c>
      <c r="G4">
        <v>-20</v>
      </c>
      <c r="H4">
        <v>-15</v>
      </c>
      <c r="I4">
        <v>-10</v>
      </c>
      <c r="J4">
        <v>-5</v>
      </c>
      <c r="K4">
        <v>0</v>
      </c>
      <c r="L4">
        <v>3</v>
      </c>
      <c r="M4">
        <v>10</v>
      </c>
      <c r="N4">
        <v>15</v>
      </c>
      <c r="O4">
        <v>20</v>
      </c>
      <c r="P4">
        <v>25</v>
      </c>
      <c r="Q4">
        <v>30</v>
      </c>
      <c r="R4">
        <v>35</v>
      </c>
      <c r="S4">
        <v>40</v>
      </c>
      <c r="T4">
        <v>48</v>
      </c>
      <c r="U4">
        <v>50</v>
      </c>
      <c r="V4">
        <v>55</v>
      </c>
      <c r="W4">
        <v>56</v>
      </c>
      <c r="X4">
        <v>65</v>
      </c>
      <c r="Y4">
        <v>70</v>
      </c>
    </row>
    <row r="5" spans="1:25" x14ac:dyDescent="0.35">
      <c r="A5" s="35">
        <f>CurrTempCurve(B5,$A$1,$A$2,$B$1,$B$2)</f>
        <v>0</v>
      </c>
      <c r="B5">
        <v>-30</v>
      </c>
      <c r="C5" s="35">
        <f>CurrChargeCurve(D5,$C$1,$C$2)</f>
        <v>0</v>
      </c>
      <c r="D5" s="35">
        <v>0</v>
      </c>
      <c r="E5" s="35">
        <f>Derating(E$4,$D5,$A$1,$A$2,$B$1,$B$2,$C$1,$C$2)</f>
        <v>0</v>
      </c>
      <c r="F5" s="35">
        <f t="shared" ref="F5:Y17" si="0">Derating(F$4,$D5,$A$1,$A$2,$B$1,$B$2,$C$1,$C$2)</f>
        <v>0</v>
      </c>
      <c r="G5" s="35">
        <f t="shared" si="0"/>
        <v>0</v>
      </c>
      <c r="H5" s="35">
        <f t="shared" si="0"/>
        <v>0</v>
      </c>
      <c r="I5" s="35">
        <f t="shared" si="0"/>
        <v>0</v>
      </c>
      <c r="J5" s="35">
        <f t="shared" si="0"/>
        <v>0</v>
      </c>
      <c r="K5" s="35">
        <f t="shared" si="0"/>
        <v>0</v>
      </c>
      <c r="L5" s="35">
        <f t="shared" si="0"/>
        <v>0</v>
      </c>
      <c r="M5" s="35">
        <f t="shared" si="0"/>
        <v>0</v>
      </c>
      <c r="N5" s="35">
        <f t="shared" si="0"/>
        <v>0</v>
      </c>
      <c r="O5" s="35">
        <f t="shared" si="0"/>
        <v>0</v>
      </c>
      <c r="P5" s="35">
        <f t="shared" si="0"/>
        <v>0</v>
      </c>
      <c r="Q5" s="35">
        <f t="shared" si="0"/>
        <v>0</v>
      </c>
      <c r="R5" s="35">
        <f t="shared" si="0"/>
        <v>0</v>
      </c>
      <c r="S5" s="35">
        <f t="shared" si="0"/>
        <v>0</v>
      </c>
      <c r="T5" s="35">
        <f t="shared" si="0"/>
        <v>0</v>
      </c>
      <c r="U5" s="35">
        <f t="shared" si="0"/>
        <v>0</v>
      </c>
      <c r="V5" s="35">
        <f t="shared" si="0"/>
        <v>0</v>
      </c>
      <c r="W5" s="35">
        <f t="shared" si="0"/>
        <v>0</v>
      </c>
      <c r="X5" s="35">
        <f t="shared" si="0"/>
        <v>0</v>
      </c>
      <c r="Y5" s="35">
        <f t="shared" si="0"/>
        <v>0</v>
      </c>
    </row>
    <row r="6" spans="1:25" x14ac:dyDescent="0.35">
      <c r="A6" s="35">
        <f t="shared" ref="A6:A25" si="1">CurrTempCurve(B6,$A$1,$A$2,$B$1,$B$2)</f>
        <v>0</v>
      </c>
      <c r="B6">
        <v>-25</v>
      </c>
      <c r="C6" s="35">
        <f t="shared" ref="C6:C25" si="2">CurrChargeCurve(D6,$C$1,$C$2)</f>
        <v>0</v>
      </c>
      <c r="D6" s="35">
        <v>0.05</v>
      </c>
      <c r="E6" s="35">
        <f t="shared" ref="E6:T25" si="3">Derating(E$4,$D6,$A$1,$A$2,$B$1,$B$2,$C$1,$C$2)</f>
        <v>0</v>
      </c>
      <c r="F6" s="35">
        <f t="shared" si="0"/>
        <v>0</v>
      </c>
      <c r="G6" s="35">
        <f t="shared" si="0"/>
        <v>0</v>
      </c>
      <c r="H6" s="35">
        <f t="shared" si="0"/>
        <v>0</v>
      </c>
      <c r="I6" s="35">
        <f t="shared" si="0"/>
        <v>0</v>
      </c>
      <c r="J6" s="35">
        <f t="shared" si="0"/>
        <v>0</v>
      </c>
      <c r="K6" s="35">
        <f t="shared" si="0"/>
        <v>0</v>
      </c>
      <c r="L6" s="35">
        <f t="shared" si="0"/>
        <v>0</v>
      </c>
      <c r="M6" s="35">
        <f t="shared" si="0"/>
        <v>0</v>
      </c>
      <c r="N6" s="35">
        <f t="shared" si="0"/>
        <v>0</v>
      </c>
      <c r="O6" s="35">
        <f t="shared" si="0"/>
        <v>0</v>
      </c>
      <c r="P6" s="35">
        <f t="shared" si="0"/>
        <v>0</v>
      </c>
      <c r="Q6" s="35">
        <f t="shared" si="0"/>
        <v>0</v>
      </c>
      <c r="R6" s="35">
        <f t="shared" si="0"/>
        <v>0</v>
      </c>
      <c r="S6" s="35">
        <f t="shared" si="0"/>
        <v>0</v>
      </c>
      <c r="T6" s="35">
        <f t="shared" si="0"/>
        <v>0</v>
      </c>
      <c r="U6" s="35">
        <f t="shared" si="0"/>
        <v>0</v>
      </c>
      <c r="V6" s="35">
        <f t="shared" si="0"/>
        <v>0</v>
      </c>
      <c r="W6" s="35">
        <f t="shared" si="0"/>
        <v>0</v>
      </c>
      <c r="X6" s="35">
        <f t="shared" si="0"/>
        <v>0</v>
      </c>
      <c r="Y6" s="35">
        <f t="shared" si="0"/>
        <v>0</v>
      </c>
    </row>
    <row r="7" spans="1:25" x14ac:dyDescent="0.35">
      <c r="A7" s="35">
        <f t="shared" si="1"/>
        <v>0</v>
      </c>
      <c r="B7">
        <v>-20</v>
      </c>
      <c r="C7" s="35">
        <f t="shared" si="2"/>
        <v>0.49999997019767761</v>
      </c>
      <c r="D7" s="35">
        <v>0.1</v>
      </c>
      <c r="E7" s="35">
        <f t="shared" si="3"/>
        <v>0</v>
      </c>
      <c r="F7" s="35">
        <f t="shared" si="0"/>
        <v>0</v>
      </c>
      <c r="G7" s="35">
        <f t="shared" si="0"/>
        <v>0</v>
      </c>
      <c r="H7" s="35">
        <f t="shared" si="0"/>
        <v>0</v>
      </c>
      <c r="I7" s="35">
        <f t="shared" si="0"/>
        <v>0</v>
      </c>
      <c r="J7" s="35">
        <f t="shared" si="0"/>
        <v>0.38461539149284363</v>
      </c>
      <c r="K7" s="35">
        <f t="shared" si="0"/>
        <v>0.49999997019767761</v>
      </c>
      <c r="L7" s="35">
        <f t="shared" si="0"/>
        <v>0.49999997019767761</v>
      </c>
      <c r="M7" s="35">
        <f t="shared" si="0"/>
        <v>0.49999997019767761</v>
      </c>
      <c r="N7" s="35">
        <f t="shared" si="0"/>
        <v>0.49999997019767761</v>
      </c>
      <c r="O7" s="35">
        <f t="shared" si="0"/>
        <v>0.49999997019767761</v>
      </c>
      <c r="P7" s="35">
        <f t="shared" si="0"/>
        <v>0.49999997019767761</v>
      </c>
      <c r="Q7" s="35">
        <f t="shared" si="0"/>
        <v>0.49999997019767761</v>
      </c>
      <c r="R7" s="35">
        <f t="shared" si="0"/>
        <v>0.49999997019767761</v>
      </c>
      <c r="S7" s="35">
        <f t="shared" si="0"/>
        <v>0.49999997019767761</v>
      </c>
      <c r="T7" s="35">
        <f t="shared" si="0"/>
        <v>0.49999997019767761</v>
      </c>
      <c r="U7" s="35">
        <f t="shared" si="0"/>
        <v>0.49999997019767761</v>
      </c>
      <c r="V7" s="35">
        <f t="shared" si="0"/>
        <v>0.125</v>
      </c>
      <c r="W7" s="35">
        <f t="shared" si="0"/>
        <v>0</v>
      </c>
      <c r="X7" s="35">
        <f t="shared" si="0"/>
        <v>0</v>
      </c>
      <c r="Y7" s="35">
        <f t="shared" si="0"/>
        <v>0</v>
      </c>
    </row>
    <row r="8" spans="1:25" x14ac:dyDescent="0.35">
      <c r="A8" s="35">
        <f t="shared" si="1"/>
        <v>0</v>
      </c>
      <c r="B8">
        <v>-15</v>
      </c>
      <c r="C8" s="35">
        <f t="shared" si="2"/>
        <v>1</v>
      </c>
      <c r="D8" s="35">
        <v>0.15000000000000002</v>
      </c>
      <c r="E8" s="35">
        <f t="shared" si="3"/>
        <v>0</v>
      </c>
      <c r="F8" s="35">
        <f t="shared" si="0"/>
        <v>0</v>
      </c>
      <c r="G8" s="35">
        <f t="shared" si="0"/>
        <v>0</v>
      </c>
      <c r="H8" s="35">
        <f t="shared" si="0"/>
        <v>0</v>
      </c>
      <c r="I8" s="35">
        <f t="shared" si="0"/>
        <v>0</v>
      </c>
      <c r="J8" s="35">
        <f t="shared" si="0"/>
        <v>0.38461539149284363</v>
      </c>
      <c r="K8" s="35">
        <f t="shared" si="0"/>
        <v>0.76923078298568726</v>
      </c>
      <c r="L8" s="35">
        <f t="shared" si="0"/>
        <v>1</v>
      </c>
      <c r="M8" s="35">
        <f t="shared" si="0"/>
        <v>1</v>
      </c>
      <c r="N8" s="35">
        <f t="shared" si="0"/>
        <v>1</v>
      </c>
      <c r="O8" s="35">
        <f t="shared" si="0"/>
        <v>1</v>
      </c>
      <c r="P8" s="35">
        <f t="shared" si="0"/>
        <v>1</v>
      </c>
      <c r="Q8" s="35">
        <f t="shared" si="0"/>
        <v>1</v>
      </c>
      <c r="R8" s="35">
        <f t="shared" si="0"/>
        <v>1</v>
      </c>
      <c r="S8" s="35">
        <f t="shared" si="0"/>
        <v>1</v>
      </c>
      <c r="T8" s="35">
        <f t="shared" si="0"/>
        <v>1</v>
      </c>
      <c r="U8" s="35">
        <f t="shared" si="0"/>
        <v>0.75</v>
      </c>
      <c r="V8" s="35">
        <f t="shared" si="0"/>
        <v>0.125</v>
      </c>
      <c r="W8" s="35">
        <f t="shared" si="0"/>
        <v>0</v>
      </c>
      <c r="X8" s="35">
        <f t="shared" si="0"/>
        <v>0</v>
      </c>
      <c r="Y8" s="35">
        <f t="shared" si="0"/>
        <v>0</v>
      </c>
    </row>
    <row r="9" spans="1:25" x14ac:dyDescent="0.35">
      <c r="A9" s="35">
        <f t="shared" si="1"/>
        <v>0</v>
      </c>
      <c r="B9">
        <v>-10</v>
      </c>
      <c r="C9" s="35">
        <f t="shared" si="2"/>
        <v>1</v>
      </c>
      <c r="D9" s="35">
        <v>0.2</v>
      </c>
      <c r="E9" s="35">
        <f t="shared" si="3"/>
        <v>0</v>
      </c>
      <c r="F9" s="35">
        <f t="shared" si="0"/>
        <v>0</v>
      </c>
      <c r="G9" s="35">
        <f t="shared" si="0"/>
        <v>0</v>
      </c>
      <c r="H9" s="35">
        <f t="shared" si="0"/>
        <v>0</v>
      </c>
      <c r="I9" s="35">
        <f t="shared" si="0"/>
        <v>0</v>
      </c>
      <c r="J9" s="35">
        <f t="shared" si="0"/>
        <v>0.38461539149284363</v>
      </c>
      <c r="K9" s="35">
        <f t="shared" si="0"/>
        <v>0.76923078298568726</v>
      </c>
      <c r="L9" s="35">
        <f t="shared" si="0"/>
        <v>1</v>
      </c>
      <c r="M9" s="35">
        <f t="shared" si="0"/>
        <v>1</v>
      </c>
      <c r="N9" s="35">
        <f t="shared" si="0"/>
        <v>1</v>
      </c>
      <c r="O9" s="35">
        <f t="shared" si="0"/>
        <v>1</v>
      </c>
      <c r="P9" s="35">
        <f t="shared" si="0"/>
        <v>1</v>
      </c>
      <c r="Q9" s="35">
        <f t="shared" si="0"/>
        <v>1</v>
      </c>
      <c r="R9" s="35">
        <f t="shared" si="0"/>
        <v>1</v>
      </c>
      <c r="S9" s="35">
        <f t="shared" si="0"/>
        <v>1</v>
      </c>
      <c r="T9" s="35">
        <f t="shared" si="0"/>
        <v>1</v>
      </c>
      <c r="U9" s="35">
        <f t="shared" si="0"/>
        <v>0.75</v>
      </c>
      <c r="V9" s="35">
        <f t="shared" si="0"/>
        <v>0.125</v>
      </c>
      <c r="W9" s="35">
        <f t="shared" si="0"/>
        <v>0</v>
      </c>
      <c r="X9" s="35">
        <f t="shared" si="0"/>
        <v>0</v>
      </c>
      <c r="Y9" s="35">
        <f t="shared" si="0"/>
        <v>0</v>
      </c>
    </row>
    <row r="10" spans="1:25" x14ac:dyDescent="0.35">
      <c r="A10" s="35">
        <f t="shared" si="1"/>
        <v>0.38461539149284363</v>
      </c>
      <c r="B10">
        <v>-5</v>
      </c>
      <c r="C10" s="35">
        <f t="shared" si="2"/>
        <v>1</v>
      </c>
      <c r="D10" s="35">
        <v>0.25</v>
      </c>
      <c r="E10" s="35">
        <f t="shared" si="3"/>
        <v>0</v>
      </c>
      <c r="F10" s="35">
        <f t="shared" si="0"/>
        <v>0</v>
      </c>
      <c r="G10" s="35">
        <f t="shared" si="0"/>
        <v>0</v>
      </c>
      <c r="H10" s="35">
        <f t="shared" si="0"/>
        <v>0</v>
      </c>
      <c r="I10" s="35">
        <f t="shared" si="0"/>
        <v>0</v>
      </c>
      <c r="J10" s="35">
        <f t="shared" si="0"/>
        <v>0.38461539149284363</v>
      </c>
      <c r="K10" s="35">
        <f t="shared" si="0"/>
        <v>0.76923078298568726</v>
      </c>
      <c r="L10" s="35">
        <f t="shared" si="0"/>
        <v>1</v>
      </c>
      <c r="M10" s="35">
        <f t="shared" si="0"/>
        <v>1</v>
      </c>
      <c r="N10" s="35">
        <f t="shared" si="0"/>
        <v>1</v>
      </c>
      <c r="O10" s="35">
        <f t="shared" si="0"/>
        <v>1</v>
      </c>
      <c r="P10" s="35">
        <f t="shared" si="0"/>
        <v>1</v>
      </c>
      <c r="Q10" s="35">
        <f t="shared" si="0"/>
        <v>1</v>
      </c>
      <c r="R10" s="35">
        <f t="shared" si="0"/>
        <v>1</v>
      </c>
      <c r="S10" s="35">
        <f t="shared" si="0"/>
        <v>1</v>
      </c>
      <c r="T10" s="35">
        <f t="shared" si="0"/>
        <v>1</v>
      </c>
      <c r="U10" s="35">
        <f t="shared" si="0"/>
        <v>0.75</v>
      </c>
      <c r="V10" s="35">
        <f t="shared" si="0"/>
        <v>0.125</v>
      </c>
      <c r="W10" s="35">
        <f t="shared" si="0"/>
        <v>0</v>
      </c>
      <c r="X10" s="35">
        <f t="shared" si="0"/>
        <v>0</v>
      </c>
      <c r="Y10" s="35">
        <f t="shared" si="0"/>
        <v>0</v>
      </c>
    </row>
    <row r="11" spans="1:25" x14ac:dyDescent="0.35">
      <c r="A11" s="35">
        <f t="shared" si="1"/>
        <v>0.76923078298568726</v>
      </c>
      <c r="B11">
        <v>0</v>
      </c>
      <c r="C11" s="35">
        <f t="shared" si="2"/>
        <v>1</v>
      </c>
      <c r="D11" s="35">
        <v>0.30000000000000004</v>
      </c>
      <c r="E11" s="35">
        <f t="shared" si="3"/>
        <v>0</v>
      </c>
      <c r="F11" s="35">
        <f t="shared" si="0"/>
        <v>0</v>
      </c>
      <c r="G11" s="35">
        <f t="shared" si="0"/>
        <v>0</v>
      </c>
      <c r="H11" s="35">
        <f t="shared" si="0"/>
        <v>0</v>
      </c>
      <c r="I11" s="35">
        <f t="shared" si="0"/>
        <v>0</v>
      </c>
      <c r="J11" s="35">
        <f t="shared" si="0"/>
        <v>0.38461539149284363</v>
      </c>
      <c r="K11" s="35">
        <f t="shared" si="0"/>
        <v>0.76923078298568726</v>
      </c>
      <c r="L11" s="35">
        <f t="shared" si="0"/>
        <v>1</v>
      </c>
      <c r="M11" s="35">
        <f t="shared" si="0"/>
        <v>1</v>
      </c>
      <c r="N11" s="35">
        <f t="shared" si="0"/>
        <v>1</v>
      </c>
      <c r="O11" s="35">
        <f t="shared" si="0"/>
        <v>1</v>
      </c>
      <c r="P11" s="35">
        <f t="shared" si="0"/>
        <v>1</v>
      </c>
      <c r="Q11" s="35">
        <f t="shared" si="0"/>
        <v>1</v>
      </c>
      <c r="R11" s="35">
        <f t="shared" si="0"/>
        <v>1</v>
      </c>
      <c r="S11" s="35">
        <f t="shared" si="0"/>
        <v>1</v>
      </c>
      <c r="T11" s="35">
        <f t="shared" si="0"/>
        <v>1</v>
      </c>
      <c r="U11" s="35">
        <f t="shared" si="0"/>
        <v>0.75</v>
      </c>
      <c r="V11" s="35">
        <f t="shared" si="0"/>
        <v>0.125</v>
      </c>
      <c r="W11" s="35">
        <f t="shared" si="0"/>
        <v>0</v>
      </c>
      <c r="X11" s="35">
        <f t="shared" si="0"/>
        <v>0</v>
      </c>
      <c r="Y11" s="35">
        <f t="shared" si="0"/>
        <v>0</v>
      </c>
    </row>
    <row r="12" spans="1:25" x14ac:dyDescent="0.35">
      <c r="A12" s="35">
        <f t="shared" si="1"/>
        <v>1</v>
      </c>
      <c r="B12">
        <v>3</v>
      </c>
      <c r="C12" s="35">
        <f t="shared" si="2"/>
        <v>1</v>
      </c>
      <c r="D12" s="35">
        <v>0.35000000000000003</v>
      </c>
      <c r="E12" s="35">
        <f t="shared" si="3"/>
        <v>0</v>
      </c>
      <c r="F12" s="35">
        <f t="shared" si="0"/>
        <v>0</v>
      </c>
      <c r="G12" s="35">
        <f t="shared" si="0"/>
        <v>0</v>
      </c>
      <c r="H12" s="35">
        <f t="shared" si="0"/>
        <v>0</v>
      </c>
      <c r="I12" s="35">
        <f t="shared" si="0"/>
        <v>0</v>
      </c>
      <c r="J12" s="35">
        <f t="shared" si="0"/>
        <v>0.38461539149284363</v>
      </c>
      <c r="K12" s="35">
        <f t="shared" si="0"/>
        <v>0.76923078298568726</v>
      </c>
      <c r="L12" s="35">
        <f t="shared" si="0"/>
        <v>1</v>
      </c>
      <c r="M12" s="35">
        <f t="shared" si="0"/>
        <v>1</v>
      </c>
      <c r="N12" s="35">
        <f t="shared" si="0"/>
        <v>1</v>
      </c>
      <c r="O12" s="35">
        <f t="shared" si="0"/>
        <v>1</v>
      </c>
      <c r="P12" s="35">
        <f t="shared" si="0"/>
        <v>1</v>
      </c>
      <c r="Q12" s="35">
        <f t="shared" si="0"/>
        <v>1</v>
      </c>
      <c r="R12" s="35">
        <f t="shared" si="0"/>
        <v>1</v>
      </c>
      <c r="S12" s="35">
        <f t="shared" si="0"/>
        <v>1</v>
      </c>
      <c r="T12" s="35">
        <f t="shared" si="0"/>
        <v>1</v>
      </c>
      <c r="U12" s="35">
        <f t="shared" si="0"/>
        <v>0.75</v>
      </c>
      <c r="V12" s="35">
        <f t="shared" si="0"/>
        <v>0.125</v>
      </c>
      <c r="W12" s="35">
        <f t="shared" si="0"/>
        <v>0</v>
      </c>
      <c r="X12" s="35">
        <f t="shared" si="0"/>
        <v>0</v>
      </c>
      <c r="Y12" s="35">
        <f t="shared" si="0"/>
        <v>0</v>
      </c>
    </row>
    <row r="13" spans="1:25" x14ac:dyDescent="0.35">
      <c r="A13" s="35">
        <f t="shared" si="1"/>
        <v>1</v>
      </c>
      <c r="B13">
        <v>10</v>
      </c>
      <c r="C13" s="35">
        <f t="shared" si="2"/>
        <v>1</v>
      </c>
      <c r="D13" s="35">
        <v>0.4</v>
      </c>
      <c r="E13" s="35">
        <f t="shared" si="3"/>
        <v>0</v>
      </c>
      <c r="F13" s="35">
        <f t="shared" si="0"/>
        <v>0</v>
      </c>
      <c r="G13" s="35">
        <f t="shared" si="0"/>
        <v>0</v>
      </c>
      <c r="H13" s="35">
        <f t="shared" si="0"/>
        <v>0</v>
      </c>
      <c r="I13" s="35">
        <f t="shared" si="0"/>
        <v>0</v>
      </c>
      <c r="J13" s="35">
        <f t="shared" si="0"/>
        <v>0.38461539149284363</v>
      </c>
      <c r="K13" s="35">
        <f t="shared" si="0"/>
        <v>0.76923078298568726</v>
      </c>
      <c r="L13" s="35">
        <f t="shared" si="0"/>
        <v>1</v>
      </c>
      <c r="M13" s="35">
        <f t="shared" si="0"/>
        <v>1</v>
      </c>
      <c r="N13" s="35">
        <f t="shared" si="0"/>
        <v>1</v>
      </c>
      <c r="O13" s="35">
        <f t="shared" si="0"/>
        <v>1</v>
      </c>
      <c r="P13" s="35">
        <f t="shared" si="0"/>
        <v>1</v>
      </c>
      <c r="Q13" s="35">
        <f t="shared" si="0"/>
        <v>1</v>
      </c>
      <c r="R13" s="35">
        <f t="shared" si="0"/>
        <v>1</v>
      </c>
      <c r="S13" s="35">
        <f t="shared" si="0"/>
        <v>1</v>
      </c>
      <c r="T13" s="35">
        <f t="shared" si="0"/>
        <v>1</v>
      </c>
      <c r="U13" s="35">
        <f t="shared" si="0"/>
        <v>0.75</v>
      </c>
      <c r="V13" s="35">
        <f t="shared" si="0"/>
        <v>0.125</v>
      </c>
      <c r="W13" s="35">
        <f t="shared" si="0"/>
        <v>0</v>
      </c>
      <c r="X13" s="35">
        <f t="shared" si="0"/>
        <v>0</v>
      </c>
      <c r="Y13" s="35">
        <f t="shared" si="0"/>
        <v>0</v>
      </c>
    </row>
    <row r="14" spans="1:25" x14ac:dyDescent="0.35">
      <c r="A14" s="35">
        <f t="shared" si="1"/>
        <v>1</v>
      </c>
      <c r="B14">
        <v>15</v>
      </c>
      <c r="C14" s="35">
        <f t="shared" si="2"/>
        <v>1</v>
      </c>
      <c r="D14" s="35">
        <v>0.45</v>
      </c>
      <c r="E14" s="35">
        <f t="shared" si="3"/>
        <v>0</v>
      </c>
      <c r="F14" s="35">
        <f t="shared" si="0"/>
        <v>0</v>
      </c>
      <c r="G14" s="35">
        <f t="shared" si="0"/>
        <v>0</v>
      </c>
      <c r="H14" s="35">
        <f t="shared" si="0"/>
        <v>0</v>
      </c>
      <c r="I14" s="35">
        <f t="shared" si="0"/>
        <v>0</v>
      </c>
      <c r="J14" s="35">
        <f t="shared" si="0"/>
        <v>0.38461539149284363</v>
      </c>
      <c r="K14" s="35">
        <f t="shared" si="0"/>
        <v>0.76923078298568726</v>
      </c>
      <c r="L14" s="35">
        <f t="shared" si="0"/>
        <v>1</v>
      </c>
      <c r="M14" s="35">
        <f t="shared" si="0"/>
        <v>1</v>
      </c>
      <c r="N14" s="35">
        <f t="shared" si="0"/>
        <v>1</v>
      </c>
      <c r="O14" s="35">
        <f t="shared" si="0"/>
        <v>1</v>
      </c>
      <c r="P14" s="35">
        <f t="shared" si="0"/>
        <v>1</v>
      </c>
      <c r="Q14" s="35">
        <f t="shared" si="0"/>
        <v>1</v>
      </c>
      <c r="R14" s="35">
        <f t="shared" si="0"/>
        <v>1</v>
      </c>
      <c r="S14" s="35">
        <f t="shared" si="0"/>
        <v>1</v>
      </c>
      <c r="T14" s="35">
        <f t="shared" si="0"/>
        <v>1</v>
      </c>
      <c r="U14" s="35">
        <f t="shared" si="0"/>
        <v>0.75</v>
      </c>
      <c r="V14" s="35">
        <f t="shared" si="0"/>
        <v>0.125</v>
      </c>
      <c r="W14" s="35">
        <f t="shared" si="0"/>
        <v>0</v>
      </c>
      <c r="X14" s="35">
        <f t="shared" si="0"/>
        <v>0</v>
      </c>
      <c r="Y14" s="35">
        <f t="shared" si="0"/>
        <v>0</v>
      </c>
    </row>
    <row r="15" spans="1:25" x14ac:dyDescent="0.35">
      <c r="A15" s="35">
        <f t="shared" si="1"/>
        <v>1</v>
      </c>
      <c r="B15">
        <v>20</v>
      </c>
      <c r="C15" s="35">
        <f t="shared" si="2"/>
        <v>1</v>
      </c>
      <c r="D15" s="35">
        <v>0.5</v>
      </c>
      <c r="E15" s="35">
        <f t="shared" si="3"/>
        <v>0</v>
      </c>
      <c r="F15" s="35">
        <f t="shared" si="0"/>
        <v>0</v>
      </c>
      <c r="G15" s="35">
        <f t="shared" si="0"/>
        <v>0</v>
      </c>
      <c r="H15" s="35">
        <f t="shared" si="0"/>
        <v>0</v>
      </c>
      <c r="I15" s="35">
        <f t="shared" si="0"/>
        <v>0</v>
      </c>
      <c r="J15" s="35">
        <f t="shared" si="0"/>
        <v>0.38461539149284363</v>
      </c>
      <c r="K15" s="35">
        <f t="shared" si="0"/>
        <v>0.76923078298568726</v>
      </c>
      <c r="L15" s="35">
        <f t="shared" si="0"/>
        <v>1</v>
      </c>
      <c r="M15" s="35">
        <f t="shared" si="0"/>
        <v>1</v>
      </c>
      <c r="N15" s="35">
        <f t="shared" si="0"/>
        <v>1</v>
      </c>
      <c r="O15" s="35">
        <f t="shared" si="0"/>
        <v>1</v>
      </c>
      <c r="P15" s="35">
        <f t="shared" si="0"/>
        <v>1</v>
      </c>
      <c r="Q15" s="35">
        <f t="shared" si="0"/>
        <v>1</v>
      </c>
      <c r="R15" s="35">
        <f t="shared" si="0"/>
        <v>1</v>
      </c>
      <c r="S15" s="35">
        <f t="shared" si="0"/>
        <v>1</v>
      </c>
      <c r="T15" s="35">
        <f t="shared" si="0"/>
        <v>1</v>
      </c>
      <c r="U15" s="35">
        <f t="shared" si="0"/>
        <v>0.75</v>
      </c>
      <c r="V15" s="35">
        <f t="shared" si="0"/>
        <v>0.125</v>
      </c>
      <c r="W15" s="35">
        <f t="shared" si="0"/>
        <v>0</v>
      </c>
      <c r="X15" s="35">
        <f t="shared" si="0"/>
        <v>0</v>
      </c>
      <c r="Y15" s="35">
        <f t="shared" si="0"/>
        <v>0</v>
      </c>
    </row>
    <row r="16" spans="1:25" x14ac:dyDescent="0.35">
      <c r="A16" s="35">
        <f t="shared" si="1"/>
        <v>1</v>
      </c>
      <c r="B16">
        <v>25</v>
      </c>
      <c r="C16" s="35">
        <f t="shared" si="2"/>
        <v>1</v>
      </c>
      <c r="D16" s="35">
        <v>0.55000000000000004</v>
      </c>
      <c r="E16" s="35">
        <f t="shared" si="3"/>
        <v>0</v>
      </c>
      <c r="F16" s="35">
        <f t="shared" si="0"/>
        <v>0</v>
      </c>
      <c r="G16" s="35">
        <f t="shared" si="0"/>
        <v>0</v>
      </c>
      <c r="H16" s="35">
        <f t="shared" si="0"/>
        <v>0</v>
      </c>
      <c r="I16" s="35">
        <f t="shared" si="0"/>
        <v>0</v>
      </c>
      <c r="J16" s="35">
        <f t="shared" si="0"/>
        <v>0.38461539149284363</v>
      </c>
      <c r="K16" s="35">
        <f t="shared" si="0"/>
        <v>0.76923078298568726</v>
      </c>
      <c r="L16" s="35">
        <f t="shared" si="0"/>
        <v>1</v>
      </c>
      <c r="M16" s="35">
        <f t="shared" si="0"/>
        <v>1</v>
      </c>
      <c r="N16" s="35">
        <f t="shared" si="0"/>
        <v>1</v>
      </c>
      <c r="O16" s="35">
        <f t="shared" si="0"/>
        <v>1</v>
      </c>
      <c r="P16" s="35">
        <f t="shared" si="0"/>
        <v>1</v>
      </c>
      <c r="Q16" s="35">
        <f t="shared" si="0"/>
        <v>1</v>
      </c>
      <c r="R16" s="35">
        <f t="shared" si="0"/>
        <v>1</v>
      </c>
      <c r="S16" s="35">
        <f t="shared" si="0"/>
        <v>1</v>
      </c>
      <c r="T16" s="35">
        <f t="shared" si="0"/>
        <v>1</v>
      </c>
      <c r="U16" s="35">
        <f t="shared" si="0"/>
        <v>0.75</v>
      </c>
      <c r="V16" s="35">
        <f t="shared" si="0"/>
        <v>0.125</v>
      </c>
      <c r="W16" s="35">
        <f t="shared" si="0"/>
        <v>0</v>
      </c>
      <c r="X16" s="35">
        <f t="shared" si="0"/>
        <v>0</v>
      </c>
      <c r="Y16" s="35">
        <f t="shared" si="0"/>
        <v>0</v>
      </c>
    </row>
    <row r="17" spans="1:25" x14ac:dyDescent="0.35">
      <c r="A17" s="35">
        <f t="shared" si="1"/>
        <v>1</v>
      </c>
      <c r="B17">
        <v>30</v>
      </c>
      <c r="C17" s="35">
        <f t="shared" si="2"/>
        <v>1</v>
      </c>
      <c r="D17" s="35">
        <v>0.60000000000000009</v>
      </c>
      <c r="E17" s="35">
        <f t="shared" si="3"/>
        <v>0</v>
      </c>
      <c r="F17" s="35">
        <f t="shared" si="0"/>
        <v>0</v>
      </c>
      <c r="G17" s="35">
        <f t="shared" si="0"/>
        <v>0</v>
      </c>
      <c r="H17" s="35">
        <f t="shared" si="0"/>
        <v>0</v>
      </c>
      <c r="I17" s="35">
        <f t="shared" si="0"/>
        <v>0</v>
      </c>
      <c r="J17" s="35">
        <f t="shared" si="0"/>
        <v>0.38461539149284363</v>
      </c>
      <c r="K17" s="35">
        <f t="shared" si="0"/>
        <v>0.76923078298568726</v>
      </c>
      <c r="L17" s="35">
        <f t="shared" si="0"/>
        <v>1</v>
      </c>
      <c r="M17" s="35">
        <f t="shared" si="0"/>
        <v>1</v>
      </c>
      <c r="N17" s="35">
        <f t="shared" si="0"/>
        <v>1</v>
      </c>
      <c r="O17" s="35">
        <f t="shared" si="0"/>
        <v>1</v>
      </c>
      <c r="P17" s="35">
        <f t="shared" si="0"/>
        <v>1</v>
      </c>
      <c r="Q17" s="35">
        <f t="shared" si="0"/>
        <v>1</v>
      </c>
      <c r="R17" s="35">
        <f t="shared" si="0"/>
        <v>1</v>
      </c>
      <c r="S17" s="35">
        <f t="shared" si="0"/>
        <v>1</v>
      </c>
      <c r="T17" s="35">
        <f t="shared" si="0"/>
        <v>1</v>
      </c>
      <c r="U17" s="35">
        <f t="shared" ref="U17:Y25" si="4">Derating(U$4,$D17,$A$1,$A$2,$B$1,$B$2,$C$1,$C$2)</f>
        <v>0.75</v>
      </c>
      <c r="V17" s="35">
        <f t="shared" si="4"/>
        <v>0.125</v>
      </c>
      <c r="W17" s="35">
        <f t="shared" si="4"/>
        <v>0</v>
      </c>
      <c r="X17" s="35">
        <f t="shared" si="4"/>
        <v>0</v>
      </c>
      <c r="Y17" s="35">
        <f t="shared" si="4"/>
        <v>0</v>
      </c>
    </row>
    <row r="18" spans="1:25" x14ac:dyDescent="0.35">
      <c r="A18" s="35">
        <f t="shared" si="1"/>
        <v>1</v>
      </c>
      <c r="B18">
        <v>35</v>
      </c>
      <c r="C18" s="35">
        <f t="shared" si="2"/>
        <v>1</v>
      </c>
      <c r="D18" s="35">
        <v>0.65</v>
      </c>
      <c r="E18" s="35">
        <f t="shared" si="3"/>
        <v>0</v>
      </c>
      <c r="F18" s="35">
        <f t="shared" si="3"/>
        <v>0</v>
      </c>
      <c r="G18" s="35">
        <f t="shared" si="3"/>
        <v>0</v>
      </c>
      <c r="H18" s="35">
        <f t="shared" si="3"/>
        <v>0</v>
      </c>
      <c r="I18" s="35">
        <f t="shared" si="3"/>
        <v>0</v>
      </c>
      <c r="J18" s="35">
        <f t="shared" si="3"/>
        <v>0.38461539149284363</v>
      </c>
      <c r="K18" s="35">
        <f t="shared" si="3"/>
        <v>0.76923078298568726</v>
      </c>
      <c r="L18" s="35">
        <f t="shared" si="3"/>
        <v>1</v>
      </c>
      <c r="M18" s="35">
        <f t="shared" si="3"/>
        <v>1</v>
      </c>
      <c r="N18" s="35">
        <f t="shared" si="3"/>
        <v>1</v>
      </c>
      <c r="O18" s="35">
        <f t="shared" si="3"/>
        <v>1</v>
      </c>
      <c r="P18" s="35">
        <f t="shared" si="3"/>
        <v>1</v>
      </c>
      <c r="Q18" s="35">
        <f t="shared" si="3"/>
        <v>1</v>
      </c>
      <c r="R18" s="35">
        <f t="shared" si="3"/>
        <v>1</v>
      </c>
      <c r="S18" s="35">
        <f t="shared" si="3"/>
        <v>1</v>
      </c>
      <c r="T18" s="35">
        <f t="shared" si="3"/>
        <v>1</v>
      </c>
      <c r="U18" s="35">
        <f t="shared" si="4"/>
        <v>0.75</v>
      </c>
      <c r="V18" s="35">
        <f t="shared" si="4"/>
        <v>0.125</v>
      </c>
      <c r="W18" s="35">
        <f t="shared" si="4"/>
        <v>0</v>
      </c>
      <c r="X18" s="35">
        <f t="shared" si="4"/>
        <v>0</v>
      </c>
      <c r="Y18" s="35">
        <f t="shared" si="4"/>
        <v>0</v>
      </c>
    </row>
    <row r="19" spans="1:25" x14ac:dyDescent="0.35">
      <c r="A19" s="35">
        <f t="shared" si="1"/>
        <v>1</v>
      </c>
      <c r="B19">
        <v>40</v>
      </c>
      <c r="C19" s="35">
        <f t="shared" si="2"/>
        <v>1</v>
      </c>
      <c r="D19" s="35">
        <v>0.70000000000000007</v>
      </c>
      <c r="E19" s="35">
        <f t="shared" si="3"/>
        <v>0</v>
      </c>
      <c r="F19" s="35">
        <f t="shared" si="3"/>
        <v>0</v>
      </c>
      <c r="G19" s="35">
        <f t="shared" si="3"/>
        <v>0</v>
      </c>
      <c r="H19" s="35">
        <f t="shared" si="3"/>
        <v>0</v>
      </c>
      <c r="I19" s="35">
        <f t="shared" si="3"/>
        <v>0</v>
      </c>
      <c r="J19" s="35">
        <f t="shared" si="3"/>
        <v>0.38461539149284363</v>
      </c>
      <c r="K19" s="35">
        <f t="shared" si="3"/>
        <v>0.76923078298568726</v>
      </c>
      <c r="L19" s="35">
        <f t="shared" si="3"/>
        <v>1</v>
      </c>
      <c r="M19" s="35">
        <f t="shared" si="3"/>
        <v>1</v>
      </c>
      <c r="N19" s="35">
        <f t="shared" si="3"/>
        <v>1</v>
      </c>
      <c r="O19" s="35">
        <f t="shared" si="3"/>
        <v>1</v>
      </c>
      <c r="P19" s="35">
        <f t="shared" si="3"/>
        <v>1</v>
      </c>
      <c r="Q19" s="35">
        <f t="shared" si="3"/>
        <v>1</v>
      </c>
      <c r="R19" s="35">
        <f t="shared" si="3"/>
        <v>1</v>
      </c>
      <c r="S19" s="35">
        <f t="shared" si="3"/>
        <v>1</v>
      </c>
      <c r="T19" s="35">
        <f t="shared" si="3"/>
        <v>1</v>
      </c>
      <c r="U19" s="35">
        <f t="shared" si="4"/>
        <v>0.75</v>
      </c>
      <c r="V19" s="35">
        <f t="shared" si="4"/>
        <v>0.125</v>
      </c>
      <c r="W19" s="35">
        <f t="shared" si="4"/>
        <v>0</v>
      </c>
      <c r="X19" s="35">
        <f t="shared" si="4"/>
        <v>0</v>
      </c>
      <c r="Y19" s="35">
        <f t="shared" si="4"/>
        <v>0</v>
      </c>
    </row>
    <row r="20" spans="1:25" x14ac:dyDescent="0.35">
      <c r="A20" s="35">
        <f t="shared" si="1"/>
        <v>1</v>
      </c>
      <c r="B20">
        <v>48</v>
      </c>
      <c r="C20" s="35">
        <f t="shared" si="2"/>
        <v>1</v>
      </c>
      <c r="D20" s="35">
        <v>0.75</v>
      </c>
      <c r="E20" s="35">
        <f t="shared" si="3"/>
        <v>0</v>
      </c>
      <c r="F20" s="35">
        <f t="shared" si="3"/>
        <v>0</v>
      </c>
      <c r="G20" s="35">
        <f t="shared" si="3"/>
        <v>0</v>
      </c>
      <c r="H20" s="35">
        <f t="shared" si="3"/>
        <v>0</v>
      </c>
      <c r="I20" s="35">
        <f t="shared" si="3"/>
        <v>0</v>
      </c>
      <c r="J20" s="35">
        <f t="shared" si="3"/>
        <v>0.38461539149284363</v>
      </c>
      <c r="K20" s="35">
        <f t="shared" si="3"/>
        <v>0.76923078298568726</v>
      </c>
      <c r="L20" s="35">
        <f t="shared" si="3"/>
        <v>1</v>
      </c>
      <c r="M20" s="35">
        <f t="shared" si="3"/>
        <v>1</v>
      </c>
      <c r="N20" s="35">
        <f t="shared" si="3"/>
        <v>1</v>
      </c>
      <c r="O20" s="35">
        <f t="shared" si="3"/>
        <v>1</v>
      </c>
      <c r="P20" s="35">
        <f t="shared" si="3"/>
        <v>1</v>
      </c>
      <c r="Q20" s="35">
        <f t="shared" si="3"/>
        <v>1</v>
      </c>
      <c r="R20" s="35">
        <f t="shared" si="3"/>
        <v>1</v>
      </c>
      <c r="S20" s="35">
        <f t="shared" si="3"/>
        <v>1</v>
      </c>
      <c r="T20" s="35">
        <f t="shared" si="3"/>
        <v>1</v>
      </c>
      <c r="U20" s="35">
        <f t="shared" si="4"/>
        <v>0.75</v>
      </c>
      <c r="V20" s="35">
        <f t="shared" si="4"/>
        <v>0.125</v>
      </c>
      <c r="W20" s="35">
        <f t="shared" si="4"/>
        <v>0</v>
      </c>
      <c r="X20" s="35">
        <f t="shared" si="4"/>
        <v>0</v>
      </c>
      <c r="Y20" s="35">
        <f t="shared" si="4"/>
        <v>0</v>
      </c>
    </row>
    <row r="21" spans="1:25" x14ac:dyDescent="0.35">
      <c r="A21" s="35">
        <f t="shared" si="1"/>
        <v>0.75</v>
      </c>
      <c r="B21">
        <v>50</v>
      </c>
      <c r="C21" s="35">
        <f t="shared" si="2"/>
        <v>1</v>
      </c>
      <c r="D21" s="35">
        <v>0.8</v>
      </c>
      <c r="E21" s="35">
        <f t="shared" si="3"/>
        <v>0</v>
      </c>
      <c r="F21" s="35">
        <f t="shared" si="3"/>
        <v>0</v>
      </c>
      <c r="G21" s="35">
        <f t="shared" si="3"/>
        <v>0</v>
      </c>
      <c r="H21" s="35">
        <f t="shared" si="3"/>
        <v>0</v>
      </c>
      <c r="I21" s="35">
        <f t="shared" si="3"/>
        <v>0</v>
      </c>
      <c r="J21" s="35">
        <f t="shared" si="3"/>
        <v>0.38461539149284363</v>
      </c>
      <c r="K21" s="35">
        <f t="shared" si="3"/>
        <v>0.76923078298568726</v>
      </c>
      <c r="L21" s="35">
        <f t="shared" si="3"/>
        <v>1</v>
      </c>
      <c r="M21" s="35">
        <f t="shared" si="3"/>
        <v>1</v>
      </c>
      <c r="N21" s="35">
        <f t="shared" si="3"/>
        <v>1</v>
      </c>
      <c r="O21" s="35">
        <f t="shared" si="3"/>
        <v>1</v>
      </c>
      <c r="P21" s="35">
        <f t="shared" si="3"/>
        <v>1</v>
      </c>
      <c r="Q21" s="35">
        <f t="shared" si="3"/>
        <v>1</v>
      </c>
      <c r="R21" s="35">
        <f t="shared" si="3"/>
        <v>1</v>
      </c>
      <c r="S21" s="35">
        <f t="shared" si="3"/>
        <v>1</v>
      </c>
      <c r="T21" s="35">
        <f t="shared" si="3"/>
        <v>1</v>
      </c>
      <c r="U21" s="35">
        <f t="shared" si="4"/>
        <v>0.75</v>
      </c>
      <c r="V21" s="35">
        <f t="shared" si="4"/>
        <v>0.125</v>
      </c>
      <c r="W21" s="35">
        <f t="shared" si="4"/>
        <v>0</v>
      </c>
      <c r="X21" s="35">
        <f t="shared" si="4"/>
        <v>0</v>
      </c>
      <c r="Y21" s="35">
        <f t="shared" si="4"/>
        <v>0</v>
      </c>
    </row>
    <row r="22" spans="1:25" x14ac:dyDescent="0.35">
      <c r="A22" s="35">
        <f t="shared" si="1"/>
        <v>0.125</v>
      </c>
      <c r="B22">
        <v>55</v>
      </c>
      <c r="C22" s="35">
        <f t="shared" si="2"/>
        <v>1</v>
      </c>
      <c r="D22" s="35">
        <v>0.85000000000000009</v>
      </c>
      <c r="E22" s="35">
        <f t="shared" si="3"/>
        <v>0</v>
      </c>
      <c r="F22" s="35">
        <f t="shared" si="3"/>
        <v>0</v>
      </c>
      <c r="G22" s="35">
        <f t="shared" si="3"/>
        <v>0</v>
      </c>
      <c r="H22" s="35">
        <f t="shared" si="3"/>
        <v>0</v>
      </c>
      <c r="I22" s="35">
        <f t="shared" si="3"/>
        <v>0</v>
      </c>
      <c r="J22" s="35">
        <f t="shared" si="3"/>
        <v>0.38461539149284363</v>
      </c>
      <c r="K22" s="35">
        <f t="shared" si="3"/>
        <v>0.76923078298568726</v>
      </c>
      <c r="L22" s="35">
        <f t="shared" si="3"/>
        <v>1</v>
      </c>
      <c r="M22" s="35">
        <f t="shared" si="3"/>
        <v>1</v>
      </c>
      <c r="N22" s="35">
        <f t="shared" si="3"/>
        <v>1</v>
      </c>
      <c r="O22" s="35">
        <f t="shared" si="3"/>
        <v>1</v>
      </c>
      <c r="P22" s="35">
        <f t="shared" si="3"/>
        <v>1</v>
      </c>
      <c r="Q22" s="35">
        <f t="shared" si="3"/>
        <v>1</v>
      </c>
      <c r="R22" s="35">
        <f t="shared" si="3"/>
        <v>1</v>
      </c>
      <c r="S22" s="35">
        <f t="shared" si="3"/>
        <v>1</v>
      </c>
      <c r="T22" s="35">
        <f t="shared" si="3"/>
        <v>1</v>
      </c>
      <c r="U22" s="35">
        <f t="shared" si="4"/>
        <v>0.75</v>
      </c>
      <c r="V22" s="35">
        <f t="shared" si="4"/>
        <v>0.125</v>
      </c>
      <c r="W22" s="35">
        <f t="shared" si="4"/>
        <v>0</v>
      </c>
      <c r="X22" s="35">
        <f t="shared" si="4"/>
        <v>0</v>
      </c>
      <c r="Y22" s="35">
        <f t="shared" si="4"/>
        <v>0</v>
      </c>
    </row>
    <row r="23" spans="1:25" x14ac:dyDescent="0.35">
      <c r="A23" s="35">
        <f t="shared" si="1"/>
        <v>0</v>
      </c>
      <c r="B23">
        <v>56</v>
      </c>
      <c r="C23" s="35">
        <f t="shared" si="2"/>
        <v>1</v>
      </c>
      <c r="D23" s="35">
        <v>0.9</v>
      </c>
      <c r="E23" s="35">
        <f t="shared" si="3"/>
        <v>0</v>
      </c>
      <c r="F23" s="35">
        <f t="shared" si="3"/>
        <v>0</v>
      </c>
      <c r="G23" s="35">
        <f t="shared" si="3"/>
        <v>0</v>
      </c>
      <c r="H23" s="35">
        <f t="shared" si="3"/>
        <v>0</v>
      </c>
      <c r="I23" s="35">
        <f t="shared" si="3"/>
        <v>0</v>
      </c>
      <c r="J23" s="35">
        <f t="shared" si="3"/>
        <v>0.38461539149284363</v>
      </c>
      <c r="K23" s="35">
        <f t="shared" si="3"/>
        <v>0.76923078298568726</v>
      </c>
      <c r="L23" s="35">
        <f t="shared" si="3"/>
        <v>1</v>
      </c>
      <c r="M23" s="35">
        <f t="shared" si="3"/>
        <v>1</v>
      </c>
      <c r="N23" s="35">
        <f t="shared" si="3"/>
        <v>1</v>
      </c>
      <c r="O23" s="35">
        <f t="shared" si="3"/>
        <v>1</v>
      </c>
      <c r="P23" s="35">
        <f t="shared" si="3"/>
        <v>1</v>
      </c>
      <c r="Q23" s="35">
        <f t="shared" si="3"/>
        <v>1</v>
      </c>
      <c r="R23" s="35">
        <f t="shared" si="3"/>
        <v>1</v>
      </c>
      <c r="S23" s="35">
        <f t="shared" si="3"/>
        <v>1</v>
      </c>
      <c r="T23" s="35">
        <f t="shared" si="3"/>
        <v>1</v>
      </c>
      <c r="U23" s="35">
        <f t="shared" si="4"/>
        <v>0.75</v>
      </c>
      <c r="V23" s="35">
        <f t="shared" si="4"/>
        <v>0.125</v>
      </c>
      <c r="W23" s="35">
        <f t="shared" si="4"/>
        <v>0</v>
      </c>
      <c r="X23" s="35">
        <f t="shared" si="4"/>
        <v>0</v>
      </c>
      <c r="Y23" s="35">
        <f t="shared" si="4"/>
        <v>0</v>
      </c>
    </row>
    <row r="24" spans="1:25" x14ac:dyDescent="0.35">
      <c r="A24" s="35">
        <f t="shared" si="1"/>
        <v>0</v>
      </c>
      <c r="B24">
        <v>65</v>
      </c>
      <c r="C24" s="35">
        <f t="shared" si="2"/>
        <v>1</v>
      </c>
      <c r="D24" s="35">
        <v>0.95</v>
      </c>
      <c r="E24" s="35">
        <f t="shared" si="3"/>
        <v>0</v>
      </c>
      <c r="F24" s="35">
        <f t="shared" si="3"/>
        <v>0</v>
      </c>
      <c r="G24" s="35">
        <f t="shared" si="3"/>
        <v>0</v>
      </c>
      <c r="H24" s="35">
        <f t="shared" si="3"/>
        <v>0</v>
      </c>
      <c r="I24" s="35">
        <f t="shared" si="3"/>
        <v>0</v>
      </c>
      <c r="J24" s="35">
        <f t="shared" si="3"/>
        <v>0.38461539149284363</v>
      </c>
      <c r="K24" s="35">
        <f t="shared" si="3"/>
        <v>0.76923078298568726</v>
      </c>
      <c r="L24" s="35">
        <f t="shared" si="3"/>
        <v>1</v>
      </c>
      <c r="M24" s="35">
        <f t="shared" si="3"/>
        <v>1</v>
      </c>
      <c r="N24" s="35">
        <f t="shared" si="3"/>
        <v>1</v>
      </c>
      <c r="O24" s="35">
        <f t="shared" si="3"/>
        <v>1</v>
      </c>
      <c r="P24" s="35">
        <f t="shared" si="3"/>
        <v>1</v>
      </c>
      <c r="Q24" s="35">
        <f t="shared" si="3"/>
        <v>1</v>
      </c>
      <c r="R24" s="35">
        <f t="shared" si="3"/>
        <v>1</v>
      </c>
      <c r="S24" s="35">
        <f t="shared" si="3"/>
        <v>1</v>
      </c>
      <c r="T24" s="35">
        <f t="shared" si="3"/>
        <v>1</v>
      </c>
      <c r="U24" s="35">
        <f t="shared" si="4"/>
        <v>0.75</v>
      </c>
      <c r="V24" s="35">
        <f t="shared" si="4"/>
        <v>0.125</v>
      </c>
      <c r="W24" s="35">
        <f t="shared" si="4"/>
        <v>0</v>
      </c>
      <c r="X24" s="35">
        <f t="shared" si="4"/>
        <v>0</v>
      </c>
      <c r="Y24" s="35">
        <f t="shared" si="4"/>
        <v>0</v>
      </c>
    </row>
    <row r="25" spans="1:25" x14ac:dyDescent="0.35">
      <c r="A25" s="35">
        <f t="shared" si="1"/>
        <v>0</v>
      </c>
      <c r="B25">
        <v>70</v>
      </c>
      <c r="C25" s="35">
        <f t="shared" si="2"/>
        <v>1</v>
      </c>
      <c r="D25" s="35">
        <v>1</v>
      </c>
      <c r="E25" s="35">
        <f t="shared" si="3"/>
        <v>0</v>
      </c>
      <c r="F25" s="35">
        <f t="shared" si="3"/>
        <v>0</v>
      </c>
      <c r="G25" s="35">
        <f t="shared" si="3"/>
        <v>0</v>
      </c>
      <c r="H25" s="35">
        <f t="shared" si="3"/>
        <v>0</v>
      </c>
      <c r="I25" s="35">
        <f t="shared" si="3"/>
        <v>0</v>
      </c>
      <c r="J25" s="35">
        <f t="shared" si="3"/>
        <v>0.38461539149284363</v>
      </c>
      <c r="K25" s="35">
        <f t="shared" si="3"/>
        <v>0.76923078298568726</v>
      </c>
      <c r="L25" s="35">
        <f t="shared" si="3"/>
        <v>1</v>
      </c>
      <c r="M25" s="35">
        <f t="shared" si="3"/>
        <v>1</v>
      </c>
      <c r="N25" s="35">
        <f t="shared" si="3"/>
        <v>1</v>
      </c>
      <c r="O25" s="35">
        <f t="shared" si="3"/>
        <v>1</v>
      </c>
      <c r="P25" s="35">
        <f t="shared" si="3"/>
        <v>1</v>
      </c>
      <c r="Q25" s="35">
        <f t="shared" si="3"/>
        <v>1</v>
      </c>
      <c r="R25" s="35">
        <f t="shared" si="3"/>
        <v>1</v>
      </c>
      <c r="S25" s="35">
        <f t="shared" si="3"/>
        <v>1</v>
      </c>
      <c r="T25" s="35">
        <f t="shared" si="3"/>
        <v>1</v>
      </c>
      <c r="U25" s="35">
        <f t="shared" si="4"/>
        <v>0.75</v>
      </c>
      <c r="V25" s="35">
        <f t="shared" si="4"/>
        <v>0.125</v>
      </c>
      <c r="W25" s="35">
        <f t="shared" si="4"/>
        <v>0</v>
      </c>
      <c r="X25" s="35">
        <f t="shared" si="4"/>
        <v>0</v>
      </c>
      <c r="Y25" s="35">
        <f t="shared" si="4"/>
        <v>0</v>
      </c>
    </row>
  </sheetData>
  <mergeCells count="3">
    <mergeCell ref="A3:B3"/>
    <mergeCell ref="C3:D3"/>
    <mergeCell ref="E3:Y3"/>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H28"/>
  <sheetViews>
    <sheetView workbookViewId="0">
      <selection activeCell="G3" sqref="G3"/>
    </sheetView>
  </sheetViews>
  <sheetFormatPr defaultColWidth="9.125" defaultRowHeight="14.4" x14ac:dyDescent="0.3"/>
  <cols>
    <col min="1" max="1" width="12.375" style="5" customWidth="1"/>
    <col min="2" max="2" width="14.125" style="5" bestFit="1" customWidth="1"/>
    <col min="3" max="3" width="10.25" style="5" bestFit="1" customWidth="1"/>
    <col min="4" max="4" width="11.125" style="5" customWidth="1"/>
    <col min="5" max="8" width="34.375" style="5" customWidth="1"/>
    <col min="9" max="16384" width="9.125" style="5"/>
  </cols>
  <sheetData>
    <row r="1" spans="1:8" ht="28.8" x14ac:dyDescent="0.3">
      <c r="A1" s="23" t="s">
        <v>22</v>
      </c>
      <c r="B1" s="23" t="s">
        <v>23</v>
      </c>
      <c r="C1" s="23" t="s">
        <v>26</v>
      </c>
      <c r="D1" s="23" t="s">
        <v>24</v>
      </c>
      <c r="E1" s="23" t="s">
        <v>25</v>
      </c>
      <c r="F1" s="23" t="s">
        <v>64</v>
      </c>
      <c r="G1" s="23" t="s">
        <v>82</v>
      </c>
      <c r="H1" s="23" t="s">
        <v>83</v>
      </c>
    </row>
    <row r="2" spans="1:8" x14ac:dyDescent="0.3">
      <c r="A2" s="5" t="s">
        <v>50</v>
      </c>
      <c r="B2" s="5" t="s">
        <v>15</v>
      </c>
      <c r="C2" s="5" t="s">
        <v>11</v>
      </c>
      <c r="D2" s="5" t="s">
        <v>18</v>
      </c>
      <c r="E2" s="5" t="s">
        <v>8</v>
      </c>
      <c r="F2" s="5" t="s">
        <v>65</v>
      </c>
      <c r="G2" s="5" t="s">
        <v>89</v>
      </c>
      <c r="H2" s="33">
        <v>1</v>
      </c>
    </row>
    <row r="3" spans="1:8" x14ac:dyDescent="0.3">
      <c r="A3" s="5" t="s">
        <v>49</v>
      </c>
      <c r="B3" s="5" t="s">
        <v>16</v>
      </c>
      <c r="C3" s="6" t="s">
        <v>21</v>
      </c>
      <c r="D3" s="6" t="s">
        <v>20</v>
      </c>
      <c r="E3" s="6" t="s">
        <v>12</v>
      </c>
      <c r="F3" s="6" t="s">
        <v>66</v>
      </c>
      <c r="G3" s="6"/>
      <c r="H3" s="33">
        <v>2</v>
      </c>
    </row>
    <row r="4" spans="1:8" x14ac:dyDescent="0.3">
      <c r="A4" s="5" t="s">
        <v>55</v>
      </c>
      <c r="B4" s="5" t="s">
        <v>6</v>
      </c>
      <c r="C4" s="6"/>
      <c r="D4" s="6" t="s">
        <v>13</v>
      </c>
      <c r="E4" s="6" t="s">
        <v>17</v>
      </c>
      <c r="F4" s="6" t="s">
        <v>70</v>
      </c>
      <c r="G4" s="6"/>
      <c r="H4" s="33">
        <v>3</v>
      </c>
    </row>
    <row r="5" spans="1:8" x14ac:dyDescent="0.3">
      <c r="B5" s="6" t="s">
        <v>52</v>
      </c>
      <c r="C5" s="6"/>
      <c r="D5" s="6" t="s">
        <v>7</v>
      </c>
      <c r="E5" s="6" t="s">
        <v>27</v>
      </c>
      <c r="F5" s="6"/>
      <c r="G5" s="6"/>
      <c r="H5" s="33">
        <v>4</v>
      </c>
    </row>
    <row r="6" spans="1:8" x14ac:dyDescent="0.3">
      <c r="B6" s="6" t="s">
        <v>53</v>
      </c>
      <c r="C6" s="6"/>
      <c r="D6" s="6" t="s">
        <v>6</v>
      </c>
      <c r="E6" s="6" t="s">
        <v>28</v>
      </c>
      <c r="F6" s="6"/>
      <c r="G6" s="6"/>
      <c r="H6" s="33">
        <v>5</v>
      </c>
    </row>
    <row r="7" spans="1:8" x14ac:dyDescent="0.3">
      <c r="B7" s="6" t="s">
        <v>73</v>
      </c>
      <c r="C7" s="6"/>
      <c r="D7" s="6"/>
      <c r="E7" s="5" t="s">
        <v>29</v>
      </c>
      <c r="H7" s="33">
        <v>6</v>
      </c>
    </row>
    <row r="8" spans="1:8" x14ac:dyDescent="0.3">
      <c r="B8" s="6"/>
      <c r="C8" s="6"/>
      <c r="D8" s="6"/>
      <c r="E8" s="6" t="s">
        <v>30</v>
      </c>
      <c r="F8" s="6"/>
      <c r="G8" s="6"/>
      <c r="H8" s="33">
        <v>7</v>
      </c>
    </row>
    <row r="9" spans="1:8" x14ac:dyDescent="0.3">
      <c r="B9" s="6"/>
      <c r="C9" s="6"/>
      <c r="D9" s="6"/>
      <c r="E9" s="6" t="s">
        <v>19</v>
      </c>
      <c r="F9" s="6"/>
      <c r="G9" s="6"/>
      <c r="H9" s="33">
        <v>8</v>
      </c>
    </row>
    <row r="10" spans="1:8" x14ac:dyDescent="0.3">
      <c r="B10" s="6"/>
      <c r="C10" s="6"/>
      <c r="D10" s="6"/>
      <c r="E10" s="6" t="s">
        <v>31</v>
      </c>
      <c r="F10" s="6"/>
      <c r="G10" s="6"/>
      <c r="H10" s="33">
        <v>9</v>
      </c>
    </row>
    <row r="11" spans="1:8" ht="28.8" x14ac:dyDescent="0.3">
      <c r="B11" s="6"/>
      <c r="C11" s="6"/>
      <c r="D11" s="6"/>
      <c r="E11" s="6" t="s">
        <v>32</v>
      </c>
      <c r="F11" s="6"/>
      <c r="G11" s="6"/>
      <c r="H11" s="33">
        <v>10</v>
      </c>
    </row>
    <row r="12" spans="1:8" x14ac:dyDescent="0.3">
      <c r="B12" s="6"/>
      <c r="C12" s="6"/>
      <c r="D12" s="6"/>
      <c r="E12" s="6" t="s">
        <v>33</v>
      </c>
      <c r="F12" s="6"/>
      <c r="G12" s="6"/>
      <c r="H12" s="33">
        <v>11</v>
      </c>
    </row>
    <row r="13" spans="1:8" x14ac:dyDescent="0.3">
      <c r="B13" s="6"/>
      <c r="C13" s="6"/>
      <c r="D13" s="6"/>
      <c r="E13" s="6"/>
      <c r="F13" s="6"/>
      <c r="G13" s="6"/>
      <c r="H13" s="33">
        <v>12</v>
      </c>
    </row>
    <row r="14" spans="1:8" x14ac:dyDescent="0.3">
      <c r="B14" s="6"/>
      <c r="C14" s="6"/>
      <c r="D14" s="6"/>
      <c r="E14" s="6"/>
      <c r="F14" s="6"/>
      <c r="G14" s="6"/>
      <c r="H14" s="33">
        <v>13</v>
      </c>
    </row>
    <row r="15" spans="1:8" x14ac:dyDescent="0.3">
      <c r="B15" s="6"/>
      <c r="C15" s="6"/>
      <c r="D15" s="6"/>
      <c r="E15" s="6"/>
      <c r="F15" s="6"/>
      <c r="G15" s="6"/>
      <c r="H15" s="33">
        <v>14</v>
      </c>
    </row>
    <row r="16" spans="1:8" x14ac:dyDescent="0.3">
      <c r="B16" s="6"/>
      <c r="C16" s="6"/>
      <c r="D16" s="6"/>
      <c r="E16" s="6"/>
      <c r="F16" s="6"/>
      <c r="G16" s="6"/>
      <c r="H16" s="33">
        <v>15</v>
      </c>
    </row>
    <row r="17" spans="2:8" x14ac:dyDescent="0.3">
      <c r="B17" s="6"/>
      <c r="C17" s="6"/>
      <c r="D17" s="6"/>
      <c r="E17" s="6"/>
      <c r="F17" s="6"/>
      <c r="G17" s="6"/>
      <c r="H17" s="33">
        <v>16</v>
      </c>
    </row>
    <row r="18" spans="2:8" x14ac:dyDescent="0.3">
      <c r="B18" s="6"/>
      <c r="C18" s="6"/>
      <c r="D18" s="6"/>
      <c r="E18" s="6"/>
      <c r="F18" s="6"/>
      <c r="G18" s="6"/>
      <c r="H18" s="33">
        <v>17</v>
      </c>
    </row>
    <row r="19" spans="2:8" x14ac:dyDescent="0.3">
      <c r="B19" s="6"/>
      <c r="C19" s="6"/>
      <c r="D19" s="6"/>
      <c r="E19" s="6"/>
      <c r="F19" s="6"/>
      <c r="G19" s="6"/>
      <c r="H19" s="33">
        <v>18</v>
      </c>
    </row>
    <row r="20" spans="2:8" x14ac:dyDescent="0.3">
      <c r="B20" s="6"/>
      <c r="C20" s="6"/>
      <c r="D20" s="6"/>
      <c r="E20" s="6"/>
      <c r="F20" s="6"/>
      <c r="G20" s="6"/>
      <c r="H20" s="33">
        <v>19</v>
      </c>
    </row>
    <row r="21" spans="2:8" x14ac:dyDescent="0.3">
      <c r="B21" s="6"/>
      <c r="C21" s="6"/>
      <c r="D21" s="6"/>
      <c r="E21" s="6"/>
      <c r="F21" s="6"/>
      <c r="G21" s="6"/>
      <c r="H21" s="33">
        <v>20</v>
      </c>
    </row>
    <row r="22" spans="2:8" x14ac:dyDescent="0.3">
      <c r="B22" s="6"/>
      <c r="C22" s="6"/>
      <c r="D22" s="6"/>
      <c r="E22" s="6"/>
      <c r="F22" s="6"/>
      <c r="G22" s="6"/>
      <c r="H22" s="33">
        <v>21</v>
      </c>
    </row>
    <row r="23" spans="2:8" x14ac:dyDescent="0.3">
      <c r="B23" s="6"/>
      <c r="C23" s="6"/>
      <c r="D23" s="6"/>
      <c r="E23" s="6"/>
      <c r="F23" s="6"/>
      <c r="G23" s="6"/>
      <c r="H23" s="33">
        <v>22</v>
      </c>
    </row>
    <row r="24" spans="2:8" x14ac:dyDescent="0.3">
      <c r="B24" s="6"/>
      <c r="C24" s="6"/>
      <c r="D24" s="6"/>
      <c r="E24" s="6"/>
      <c r="F24" s="6"/>
      <c r="G24" s="6"/>
      <c r="H24" s="33">
        <v>23</v>
      </c>
    </row>
    <row r="25" spans="2:8" x14ac:dyDescent="0.3">
      <c r="B25" s="6"/>
      <c r="C25" s="6"/>
      <c r="D25" s="6"/>
      <c r="E25" s="6"/>
      <c r="F25" s="6"/>
      <c r="G25" s="6"/>
      <c r="H25" s="6"/>
    </row>
    <row r="26" spans="2:8" x14ac:dyDescent="0.3">
      <c r="B26" s="6"/>
      <c r="C26" s="6"/>
      <c r="D26" s="6"/>
      <c r="E26" s="6"/>
      <c r="F26" s="6"/>
      <c r="G26" s="6"/>
      <c r="H26" s="6"/>
    </row>
    <row r="27" spans="2:8" x14ac:dyDescent="0.3">
      <c r="B27" s="6"/>
      <c r="C27" s="6"/>
      <c r="D27" s="6"/>
      <c r="E27" s="6"/>
      <c r="F27" s="6"/>
      <c r="G27" s="6"/>
      <c r="H27" s="6"/>
    </row>
    <row r="28" spans="2:8" x14ac:dyDescent="0.3">
      <c r="B28" s="6"/>
      <c r="C28" s="6"/>
      <c r="D28" s="6"/>
      <c r="E28" s="6"/>
      <c r="F28" s="6"/>
      <c r="G28" s="6"/>
      <c r="H28" s="6"/>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13</vt:i4>
      </vt:variant>
    </vt:vector>
  </HeadingPairs>
  <TitlesOfParts>
    <vt:vector size="19" baseType="lpstr">
      <vt:lpstr>Targets</vt:lpstr>
      <vt:lpstr>SW</vt:lpstr>
      <vt:lpstr>HW</vt:lpstr>
      <vt:lpstr>LogBook</vt:lpstr>
      <vt:lpstr>DeratingCurves</vt:lpstr>
      <vt:lpstr>Tables</vt:lpstr>
      <vt:lpstr>HW!ColumnTitle1</vt:lpstr>
      <vt:lpstr>Tables!ColumnTitle1</vt:lpstr>
      <vt:lpstr>Targets!ColumnTitle1</vt:lpstr>
      <vt:lpstr>ColumnTitle1</vt:lpstr>
      <vt:lpstr>HW!Print_Titles</vt:lpstr>
      <vt:lpstr>SW!Print_Titles</vt:lpstr>
      <vt:lpstr>Targets!Print_Titles</vt:lpstr>
      <vt:lpstr>HW!RowTitleRegion1..D4</vt:lpstr>
      <vt:lpstr>Targets!RowTitleRegion1..D4</vt:lpstr>
      <vt:lpstr>RowTitleRegion1..D4</vt:lpstr>
      <vt:lpstr>HW!Title</vt:lpstr>
      <vt:lpstr>Targets!Title</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Massimo Maffeo</dc:creator>
  <cp:lastModifiedBy>Massimo Maffeo</cp:lastModifiedBy>
  <dcterms:created xsi:type="dcterms:W3CDTF">2017-06-01T07:23:48Z</dcterms:created>
  <dcterms:modified xsi:type="dcterms:W3CDTF">2018-09-17T14:27:50Z</dcterms:modified>
</cp:coreProperties>
</file>